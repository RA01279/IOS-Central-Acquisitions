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Inputs" sheetId="2" state="visible" r:id="rId4"/>
    <sheet name="RentRoll" sheetId="3" state="visible" r:id="rId5"/>
    <sheet name="Capex" sheetId="4" state="visible" r:id="rId6"/>
    <sheet name="CashFlow" sheetId="5" state="visible" r:id="rId7"/>
    <sheet name="Sens" sheetId="6" state="visible" r:id="rId8"/>
  </sheets>
  <definedNames>
    <definedName function="false" hidden="false" name="Acres" vbProcedure="false">Inputs!$B$16</definedName>
    <definedName function="false" hidden="false" name="AmortYrs" vbProcedure="false">Inputs!$B$44</definedName>
    <definedName function="false" hidden="false" name="CapexOverrun" vbProcedure="false">Inputs!$E$8</definedName>
    <definedName function="false" hidden="false" name="CloseCost" vbProcedure="false">Inputs!$B$21</definedName>
    <definedName function="false" hidden="false" name="CompPerAcre" vbProcedure="false">Inputs!$B$19</definedName>
    <definedName function="false" hidden="false" name="ExitCap" vbProcedure="false">Inputs!$E$7</definedName>
    <definedName function="false" hidden="false" name="ExpGrowth" vbProcedure="false">Inputs!$B$38</definedName>
    <definedName function="false" hidden="false" name="Hold" vbProcedure="false">Inputs!$B$23</definedName>
    <definedName function="false" hidden="false" name="Insurance" vbProcedure="false">Inputs!$B$32</definedName>
    <definedName function="false" hidden="false" name="IOYrs" vbProcedure="false">Inputs!$B$45</definedName>
    <definedName function="false" hidden="false" name="LeaseDelay" vbProcedure="false">Inputs!$E$9</definedName>
    <definedName function="false" hidden="false" name="LevOn" vbProcedure="false">Inputs!$B$41</definedName>
    <definedName function="false" hidden="false" name="LoanFee" vbProcedure="false">Inputs!$B$46</definedName>
    <definedName function="false" hidden="false" name="LoanLTV" vbProcedure="false">Inputs!$B$42</definedName>
    <definedName function="false" hidden="false" name="LoanRate" vbProcedure="false">Inputs!$B$43</definedName>
    <definedName function="false" hidden="false" name="MgmtPct" vbProcedure="false">Inputs!$B$35</definedName>
    <definedName function="false" hidden="false" name="MinDSCR" vbProcedure="false">Inputs!$B$26</definedName>
    <definedName function="false" hidden="false" name="OtherOpex" vbProcedure="false">Inputs!$B$37</definedName>
    <definedName function="false" hidden="false" name="PurchPrice" vbProcedure="false">Inputs!$B$17</definedName>
    <definedName function="false" hidden="false" name="RentGrowth" vbProcedure="false">Inputs!$E$5</definedName>
    <definedName function="false" hidden="false" name="ReservePerAcre" vbProcedure="false">Inputs!$B$36</definedName>
    <definedName function="false" hidden="false" name="SaleCost" vbProcedure="false">Inputs!$B$22</definedName>
    <definedName function="false" hidden="false" name="ScenIdx" vbProcedure="false">Inputs!$B$12</definedName>
    <definedName function="false" hidden="false" name="SellerTax" vbProcedure="false">Inputs!$B$31</definedName>
    <definedName function="false" hidden="false" name="StepCap" vbProcedure="false">Inputs!$B$28</definedName>
    <definedName function="false" hidden="false" name="StepG" vbProcedure="false">Inputs!$B$27</definedName>
    <definedName function="false" hidden="false" name="TaxRate" vbProcedure="false">Inputs!$B$34</definedName>
    <definedName function="false" hidden="false" name="TaxSwitch" vbProcedure="false">Inputs!$B$33</definedName>
    <definedName function="false" hidden="false" name="TgtLev" vbProcedure="false">Inputs!$B$25</definedName>
    <definedName function="false" hidden="false" name="TgtUnlev" vbProcedure="false">Inputs!$B$24</definedName>
    <definedName function="false" hidden="false" name="Vacancy" vbProcedure="false">Inputs!$E$6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<sst xmlns="http://schemas.openxmlformats.org/spreadsheetml/2006/main" count="331" uniqueCount="278">
  <si>
    <t xml:space="preserve">3879 Rendon Rd — Multi-Tenant IOS DCF</t>
  </si>
  <si>
    <t xml:space="preserve">ANNUAL DISCOUNTED CASH FLOW   |   SELLER OWNS FREE AND CLEAR   |   LIVE FROM THE INPUTS, RENTROLL AND CAPEX TABS</t>
  </si>
  <si>
    <t xml:space="preserve">SCENARIO</t>
  </si>
  <si>
    <t xml:space="preserve">Base</t>
  </si>
  <si>
    <t xml:space="preserve">HOLD (YEARS)</t>
  </si>
  <si>
    <t xml:space="preserve">EXIT CAP</t>
  </si>
  <si>
    <t xml:space="preserve">RENT GROWTH</t>
  </si>
  <si>
    <t xml:space="preserve">KEY METRICS</t>
  </si>
  <si>
    <t xml:space="preserve">PURCHASE PRICE (INPUT)</t>
  </si>
  <si>
    <t xml:space="preserve">GOING-IN CAP RATE</t>
  </si>
  <si>
    <t xml:space="preserve">UNLEVERED IRR</t>
  </si>
  <si>
    <t xml:space="preserve">LEVERED IRR</t>
  </si>
  <si>
    <t xml:space="preserve">YEAR-1 NOI</t>
  </si>
  <si>
    <t xml:space="preserve">YIELD ON COST</t>
  </si>
  <si>
    <t xml:space="preserve">AVG CASH-ON-CASH</t>
  </si>
  <si>
    <t xml:space="preserve">MIN DSCR</t>
  </si>
  <si>
    <t xml:space="preserve">GROSS EXIT VALUE</t>
  </si>
  <si>
    <t xml:space="preserve">SOLVED MAX PRICE</t>
  </si>
  <si>
    <t xml:space="preserve">POTENTIAL BASE REVENUE</t>
  </si>
  <si>
    <t xml:space="preserve">INPUT PRICE VS SOLVED</t>
  </si>
  <si>
    <t xml:space="preserve">RISK FLAGS</t>
  </si>
  <si>
    <t xml:space="preserve">POTENTIAL BASE REVENUE — EVERY TENANT</t>
  </si>
  <si>
    <t xml:space="preserve">Flag</t>
  </si>
  <si>
    <t xml:space="preserve">Metric</t>
  </si>
  <si>
    <t xml:space="preserve">Threshold</t>
  </si>
  <si>
    <t xml:space="preserve">Status</t>
  </si>
  <si>
    <t xml:space="preserve">Tenant</t>
  </si>
  <si>
    <t xml:space="preserve">Potential $/yr</t>
  </si>
  <si>
    <t xml:space="preserve">In scenario</t>
  </si>
  <si>
    <t xml:space="preserve">Scenario $/yr</t>
  </si>
  <si>
    <t xml:space="preserve">Unlevered IRR vs target</t>
  </si>
  <si>
    <t xml:space="preserve">Levered IRR vs target</t>
  </si>
  <si>
    <t xml:space="preserve">Minimum DSCR vs covenant</t>
  </si>
  <si>
    <t xml:space="preserve">Input price vs solved max price</t>
  </si>
  <si>
    <t xml:space="preserve">Property tax if reassessed (Yr-1)</t>
  </si>
  <si>
    <t xml:space="preserve">Mgmt fee and reserves underwritten</t>
  </si>
  <si>
    <t xml:space="preserve">Pipeline share of Year-2 revenue</t>
  </si>
  <si>
    <t xml:space="preserve">Largest-tenant concentration (Yr-1)</t>
  </si>
  <si>
    <t xml:space="preserve">Lease expirations inside hold</t>
  </si>
  <si>
    <t xml:space="preserve">Revenue with no stated lease term</t>
  </si>
  <si>
    <t xml:space="preserve">Pipeline, concentration and lease-term flags use the active scenario. IRR and DSCR thresholds are set on Inputs.</t>
  </si>
  <si>
    <t xml:space="preserve">SENSITIVITY — EXIT CAP (ACROSS) BY RENT GROWTH (DOWN)</t>
  </si>
  <si>
    <t xml:space="preserve">Growth / Cap</t>
  </si>
  <si>
    <t xml:space="preserve">ANNUAL CASH FLOW SUMMARY (HOLD PERIOD)</t>
  </si>
  <si>
    <t xml:space="preserve">$</t>
  </si>
  <si>
    <t xml:space="preserve">Effective gross revenue</t>
  </si>
  <si>
    <t xml:space="preserve">NOI</t>
  </si>
  <si>
    <t xml:space="preserve">Capex and reserves</t>
  </si>
  <si>
    <t xml:space="preserve">Debt service</t>
  </si>
  <si>
    <t xml:space="preserve">Cash flow after debt service</t>
  </si>
  <si>
    <t xml:space="preserve">Net sale proceeds after loan payoff</t>
  </si>
  <si>
    <t xml:space="preserve">Levered net cash flow</t>
  </si>
  <si>
    <t xml:space="preserve">Inputs and Assumptions — 3879 Rendon Rd</t>
  </si>
  <si>
    <t xml:space="preserve">Blue text = input you can change · Dotted underline = placeholder or assumption to confirm · Black = formula · Green = link from another tab. Rent data is from Kenny's email; everything else is noted.</t>
  </si>
  <si>
    <t xml:space="preserve">SCENARIO LEVERS</t>
  </si>
  <si>
    <t xml:space="preserve">Upside</t>
  </si>
  <si>
    <t xml:space="preserve">Downside</t>
  </si>
  <si>
    <t xml:space="preserve">Active</t>
  </si>
  <si>
    <t xml:space="preserve">Notes</t>
  </si>
  <si>
    <t xml:space="preserve">Market rent growth (annual)</t>
  </si>
  <si>
    <t xml:space="preserve">ASSUMPTION. Applies to tenants with no stated bump (RentRoll col I blank). S&amp;A uses its own bump.</t>
  </si>
  <si>
    <t xml:space="preserve">Vacancy &amp; credit loss (% of revenue)</t>
  </si>
  <si>
    <t xml:space="preserve">ASSUMPTION. Applied on top of tenant timing; several tenants are month-to-month or vary monthly.</t>
  </si>
  <si>
    <t xml:space="preserve">Exit cap rate (on forward NOI)</t>
  </si>
  <si>
    <t xml:space="preserve">ASSUMPTION. Replace with current small-bay IOS cap rate comps.</t>
  </si>
  <si>
    <t xml:space="preserve">Capex cost overrun</t>
  </si>
  <si>
    <t xml:space="preserve">ASSUMPTION. Multiplies the Capex tab costs.</t>
  </si>
  <si>
    <t xml:space="preserve">Lease-up delay (months, pipeline tenants only)</t>
  </si>
  <si>
    <t xml:space="preserve">ASSUMPTION. Pushes out the start month of every 'Pipeline' tenant on RentRoll.</t>
  </si>
  <si>
    <t xml:space="preserve">Active scenario (set on Dashboard)</t>
  </si>
  <si>
    <t xml:space="preserve">Scenario index</t>
  </si>
  <si>
    <t xml:space="preserve">ACQUISITION &amp; HOLD</t>
  </si>
  <si>
    <t xml:space="preserve">Property</t>
  </si>
  <si>
    <t xml:space="preserve">3879 Rendon Rd</t>
  </si>
  <si>
    <t xml:space="preserve">Per Kenny's email.</t>
  </si>
  <si>
    <t xml:space="preserve">Total site acres</t>
  </si>
  <si>
    <t xml:space="preserve">Per email: approx. 37 acres.</t>
  </si>
  <si>
    <t xml:space="preserve">Purchase price (INPUT)</t>
  </si>
  <si>
    <t xml:space="preserve">PLACEHOLDER. No price was given in the email. Type over this; the solved price below does not depend on it.</t>
  </si>
  <si>
    <t xml:space="preserve">Price per acre (check)</t>
  </si>
  <si>
    <t xml:space="preserve">Formula.</t>
  </si>
  <si>
    <t xml:space="preserve">Comp value per acre (check)</t>
  </si>
  <si>
    <t xml:space="preserve">PLACEHOLDER. Replace with IOS land/improved comps.</t>
  </si>
  <si>
    <t xml:space="preserve">Implied value at comp $/acre</t>
  </si>
  <si>
    <t xml:space="preserve">Formula. Compare with the input price and the solved price.</t>
  </si>
  <si>
    <t xml:space="preserve">Closing costs (% of price)</t>
  </si>
  <si>
    <t xml:space="preserve">ASSUMPTION.</t>
  </si>
  <si>
    <t xml:space="preserve">Sale costs (% of exit value)</t>
  </si>
  <si>
    <t xml:space="preserve">Hold period (years, 1-10)</t>
  </si>
  <si>
    <t xml:space="preserve">7 years per your selection. Changing it re-times the exit everywhere.</t>
  </si>
  <si>
    <t xml:space="preserve">Target unlevered IRR (drives solved price)</t>
  </si>
  <si>
    <t xml:space="preserve">PLACEHOLDER. Your return hurdle.</t>
  </si>
  <si>
    <t xml:space="preserve">Target levered IRR (dashboard flag)</t>
  </si>
  <si>
    <t xml:space="preserve">Minimum DSCR (dashboard flag)</t>
  </si>
  <si>
    <t xml:space="preserve">PLACEHOLDER. Typical lender floor.</t>
  </si>
  <si>
    <t xml:space="preserve">Sensitivity step: rent growth (+/-)</t>
  </si>
  <si>
    <t xml:space="preserve">Spacing of the sensitivity grid rows.</t>
  </si>
  <si>
    <t xml:space="preserve">Sensitivity step: exit cap (+/-)</t>
  </si>
  <si>
    <t xml:space="preserve">Spacing of the sensitivity grid columns.</t>
  </si>
  <si>
    <t xml:space="preserve">OPERATING EXPENSES (start from seller's numbers; every line editable)</t>
  </si>
  <si>
    <t xml:space="preserve">Seller property tax (annual)</t>
  </si>
  <si>
    <t xml:space="preserve">Email: taxes + liability insurance about $7,000 total. The $5,000 / $2,000 split is an ASSUMPTION; confirm.</t>
  </si>
  <si>
    <t xml:space="preserve">Liability insurance (annual)</t>
  </si>
  <si>
    <t xml:space="preserve">See above.</t>
  </si>
  <si>
    <t xml:space="preserve">Property tax basis: 0 = seller's current, 1 = reassess at purchase price</t>
  </si>
  <si>
    <t xml:space="preserve">Starts at seller's number as you asked. $7K on 37 acres likely reflects a low/ag appraisal; set to 1 to see reassessment.</t>
  </si>
  <si>
    <t xml:space="preserve">Reassessed tax rate (% of purchase price)</t>
  </si>
  <si>
    <t xml:space="preserve">PLACEHOLDER. Confirm combined county/ISD/city rate for the site.</t>
  </si>
  <si>
    <t xml:space="preserve">Management fee (% of effective gross revenue)</t>
  </si>
  <si>
    <t xml:space="preserve">Seller shows none. Raise to underwrite third-party management.</t>
  </si>
  <si>
    <t xml:space="preserve">Capital reserves ($ per acre per year)</t>
  </si>
  <si>
    <t xml:space="preserve">Seller shows none. Raise to underwrite reserves.</t>
  </si>
  <si>
    <t xml:space="preserve">Other opex / repairs ($ per year)</t>
  </si>
  <si>
    <t xml:space="preserve">Seller shows none (Reindeer pays electric).</t>
  </si>
  <si>
    <t xml:space="preserve">Expense growth (annual)</t>
  </si>
  <si>
    <t xml:space="preserve">FINANCING (buyer-side; seller owns free and clear)</t>
  </si>
  <si>
    <t xml:space="preserve">Use leverage? (1 = yes, 0 = unlevered only)</t>
  </si>
  <si>
    <t xml:space="preserve">Set to 0 to zero out the loan.</t>
  </si>
  <si>
    <t xml:space="preserve">Loan-to-value (% of purchase price)</t>
  </si>
  <si>
    <t xml:space="preserve">PLACEHOLDER. You said you'd supply terms.</t>
  </si>
  <si>
    <t xml:space="preserve">Interest rate</t>
  </si>
  <si>
    <t xml:space="preserve">PLACEHOLDER. Must be above 0%.</t>
  </si>
  <si>
    <t xml:space="preserve">Amortization (years)</t>
  </si>
  <si>
    <t xml:space="preserve">PLACEHOLDER.</t>
  </si>
  <si>
    <t xml:space="preserve">Interest-only period (years)</t>
  </si>
  <si>
    <t xml:space="preserve">Loan fee (% of loan)</t>
  </si>
  <si>
    <t xml:space="preserve">Rent Roll — Every Tenant Is a Line Item</t>
  </si>
  <si>
    <t xml:space="preserve">Each tenant has an Include % per scenario (cols M-O). The Dashboard toggle picks which column drives the cash flow. Months are counted from closing. Blank bump = market rent growth. Blank lease end = month-to-month / no stated term.</t>
  </si>
  <si>
    <t xml:space="preserve">Blue text = input · Dotted underline = assumption to confirm. Example of format: rent 13,000, period Monthly, start 0, lease end 60.</t>
  </si>
  <si>
    <t xml:space="preserve">#</t>
  </si>
  <si>
    <t xml:space="preserve">Space / terms (from email)</t>
  </si>
  <si>
    <t xml:space="preserve">Acres</t>
  </si>
  <si>
    <t xml:space="preserve">Rent ($)</t>
  </si>
  <si>
    <t xml:space="preserve">Rent period</t>
  </si>
  <si>
    <t xml:space="preserve">Annual rent ($)</t>
  </si>
  <si>
    <t xml:space="preserve">Annual bump</t>
  </si>
  <si>
    <t xml:space="preserve">Start mo.</t>
  </si>
  <si>
    <t xml:space="preserve">Lease end mo.</t>
  </si>
  <si>
    <t xml:space="preserve">Retention after end</t>
  </si>
  <si>
    <t xml:space="preserve">Base incl.</t>
  </si>
  <si>
    <t xml:space="preserve">Upside incl.</t>
  </si>
  <si>
    <t xml:space="preserve">Downside incl.</t>
  </si>
  <si>
    <t xml:space="preserve">Active incl.</t>
  </si>
  <si>
    <t xml:space="preserve">Effective bump</t>
  </si>
  <si>
    <t xml:space="preserve">Effective start</t>
  </si>
  <si>
    <t xml:space="preserve">Notes / source</t>
  </si>
  <si>
    <t xml:space="preserve">S&amp;A Leasing</t>
  </si>
  <si>
    <t xml:space="preserve">In-place</t>
  </si>
  <si>
    <t xml:space="preserve">~5 yrs left on 10-yr lease; small annual increases. Tenant 'takes care of parking clubs'.</t>
  </si>
  <si>
    <t xml:space="preserve">Monthly</t>
  </si>
  <si>
    <t xml:space="preserve">Email: ~$13,000/mo. 3% bump and 85% post-expiry retention are ASSUMPTIONS. Confirm what 'parking clubs' means for NNN/maintenance.</t>
  </si>
  <si>
    <t xml:space="preserve">Reindeer (Prime)</t>
  </si>
  <si>
    <t xml:space="preserve">1.56 ac + portion of office; pays electric. 1 month left, wants 1-2 yr renewal.</t>
  </si>
  <si>
    <t xml:space="preserve">Email: $7,000/mo. Lease end 24 = ASSUMES a 2-yr renewal; downside drops them.</t>
  </si>
  <si>
    <t xml:space="preserve">Straight 6</t>
  </si>
  <si>
    <t xml:space="preserve">Shop + 1 ac.</t>
  </si>
  <si>
    <t xml:space="preserve">Email: $6,500/mo. No lease term stated.</t>
  </si>
  <si>
    <t xml:space="preserve">Big Dawgs (repo)</t>
  </si>
  <si>
    <t xml:space="preserve">2 tiny spots.</t>
  </si>
  <si>
    <t xml:space="preserve">Email: $4,000/mo. No lease term stated.</t>
  </si>
  <si>
    <t xml:space="preserve">Individual tenants (various)</t>
  </si>
  <si>
    <t xml:space="preserve">Vary month to month; 'pretty solid' at $1,700-$2,500/mo.</t>
  </si>
  <si>
    <t xml:space="preserve">Email range $1,700-$2,500; midpoint used (ASSUMPTION). Downside haircuts to 75%.</t>
  </si>
  <si>
    <t xml:space="preserve">CDL driver training</t>
  </si>
  <si>
    <t xml:space="preserve">0.5 ac; with the owner many years.</t>
  </si>
  <si>
    <t xml:space="preserve">Email: $1,500/mo. No lease term stated.</t>
  </si>
  <si>
    <t xml:space="preserve">Alamo Fireworks</t>
  </si>
  <si>
    <t xml:space="preserve">Container by the street; sells July 4 and New Year; leaves it in place.</t>
  </si>
  <si>
    <t xml:space="preserve">Annual</t>
  </si>
  <si>
    <t xml:space="preserve">Email: $8,000 per YEAR.</t>
  </si>
  <si>
    <t xml:space="preserve">Prime expansion (+1 ac)</t>
  </si>
  <si>
    <t xml:space="preserve">Pipeline</t>
  </si>
  <si>
    <t xml:space="preserve">Prime adding 1 more acre.</t>
  </si>
  <si>
    <t xml:space="preserve">Email: +$3,500/mo. Start month 3 is an ASSUMPTION.</t>
  </si>
  <si>
    <t xml:space="preserve">Straight 6 expansion (~10 spots)</t>
  </si>
  <si>
    <t xml:space="preserve">About 10 added spots.</t>
  </si>
  <si>
    <t xml:space="preserve">Email: +$1,000/mo. Start month 3 is an ASSUMPTION.</t>
  </si>
  <si>
    <t xml:space="preserve">Large tenant (~5.75 ac, in county)</t>
  </si>
  <si>
    <t xml:space="preserve">Big company, at least 1 year, in county, 'a great lot'. Not yet signed.</t>
  </si>
  <si>
    <t xml:space="preserve">Email: $20,000/mo for at least 1 yr. Base = 0% (upside only); change M15 to bring it into base. Start 6 / end 18 / 70% retention are ASSUMPTIONS.</t>
  </si>
  <si>
    <t xml:space="preserve">POTENTIAL BASE REVENUE: all tenants at 100% (annual run-rate)</t>
  </si>
  <si>
    <t xml:space="preserve">   of which in-place</t>
  </si>
  <si>
    <t xml:space="preserve">   of which pipeline</t>
  </si>
  <si>
    <t xml:space="preserve">Revenue included in active scenario (annual run-rate)</t>
  </si>
  <si>
    <t xml:space="preserve">Acres itemized in email (in-place tenants)</t>
  </si>
  <si>
    <t xml:space="preserve">Site acres not itemized in email</t>
  </si>
  <si>
    <t xml:space="preserve">Includes buildings, drive aisles, spots with no acreage given, and any vacant land. Confirm vacant acreage; it drives lease-up upside.</t>
  </si>
  <si>
    <t xml:space="preserve">Capex — Lease-Up and Site Improvements</t>
  </si>
  <si>
    <t xml:space="preserve">All amounts are PLACEHOLDERS (the email gave no capex figures). Rent from these improvements is captured by the tenant lines on RentRoll.</t>
  </si>
  <si>
    <t xml:space="preserve">Include flags are 1/0 per scenario. Year = year incurred (1-10). Example format: cost 35,000 per acre x 5.75 acres in Year 1.</t>
  </si>
  <si>
    <t xml:space="preserve">Item</t>
  </si>
  <si>
    <t xml:space="preserve">Unit</t>
  </si>
  <si>
    <t xml:space="preserve">Unit cost ($)</t>
  </si>
  <si>
    <t xml:space="preserve">Units</t>
  </si>
  <si>
    <t xml:space="preserve">Year</t>
  </si>
  <si>
    <t xml:space="preserve">Gross cost ($)</t>
  </si>
  <si>
    <t xml:space="preserve">Scenario cost ($)</t>
  </si>
  <si>
    <t xml:space="preserve">Gravel/paving &amp; grading: large tenant lot</t>
  </si>
  <si>
    <t xml:space="preserve">$/acre</t>
  </si>
  <si>
    <t xml:space="preserve">Acres link to the large tenant line. Only built if that tenant is in the scenario.</t>
  </si>
  <si>
    <t xml:space="preserve">Gravel/paving: Prime +1 ac &amp; Straight 6 spots</t>
  </si>
  <si>
    <t xml:space="preserve">1.5 acres is an ASSUMPTION (1 ac Prime + ~0.5 ac for ~10 spots).</t>
  </si>
  <si>
    <t xml:space="preserve">Perimeter fencing &amp; gates</t>
  </si>
  <si>
    <t xml:space="preserve">lump sum</t>
  </si>
  <si>
    <t xml:space="preserve">Site lighting</t>
  </si>
  <si>
    <t xml:space="preserve">TOTAL</t>
  </si>
  <si>
    <t xml:space="preserve">Annual DCF — 3879 Rendon Rd</t>
  </si>
  <si>
    <t xml:space="preserve">In hold period (1/0)</t>
  </si>
  <si>
    <t xml:space="preserve">Exit year flag (1/0)</t>
  </si>
  <si>
    <t xml:space="preserve">REVENUE (included in active scenario; one line per tenant)</t>
  </si>
  <si>
    <t xml:space="preserve">Total scenario revenue</t>
  </si>
  <si>
    <t xml:space="preserve">Less: vacancy &amp; credit loss</t>
  </si>
  <si>
    <t xml:space="preserve">OPERATING EXPENSES</t>
  </si>
  <si>
    <t xml:space="preserve">Property tax</t>
  </si>
  <si>
    <t xml:space="preserve">Liability insurance</t>
  </si>
  <si>
    <t xml:space="preserve">Other opex / repairs</t>
  </si>
  <si>
    <t xml:space="preserve">Management fee</t>
  </si>
  <si>
    <t xml:space="preserve">Total operating expenses</t>
  </si>
  <si>
    <t xml:space="preserve">NET OPERATING INCOME (NOI)</t>
  </si>
  <si>
    <t xml:space="preserve">Memo: NOI before reassessed tax (price-solve helper)</t>
  </si>
  <si>
    <t xml:space="preserve">Memo: reassessed tax per $1 of price (helper)</t>
  </si>
  <si>
    <t xml:space="preserve">CAPITAL ITEMS</t>
  </si>
  <si>
    <t xml:space="preserve">Capex (Capex tab)</t>
  </si>
  <si>
    <t xml:space="preserve">Capital reserves</t>
  </si>
  <si>
    <t xml:space="preserve">UNLEVERED CASH FLOW</t>
  </si>
  <si>
    <t xml:space="preserve">Purchase price + closing costs</t>
  </si>
  <si>
    <t xml:space="preserve">NOI (in hold)</t>
  </si>
  <si>
    <t xml:space="preserve">Capex &amp; reserves (in hold)</t>
  </si>
  <si>
    <t xml:space="preserve">Forward NOI (next year) for exit</t>
  </si>
  <si>
    <t xml:space="preserve">Gross exit value</t>
  </si>
  <si>
    <t xml:space="preserve">Less: sale costs</t>
  </si>
  <si>
    <t xml:space="preserve">Net sale proceeds</t>
  </si>
  <si>
    <t xml:space="preserve">UNLEVERED NET CASH FLOW</t>
  </si>
  <si>
    <t xml:space="preserve">FINANCING &amp; LEVERED CASH FLOW</t>
  </si>
  <si>
    <t xml:space="preserve">Loan proceeds</t>
  </si>
  <si>
    <t xml:space="preserve">Loan fee</t>
  </si>
  <si>
    <t xml:space="preserve">Interest (full schedule)</t>
  </si>
  <si>
    <t xml:space="preserve">Principal (full schedule)</t>
  </si>
  <si>
    <t xml:space="preserve">Total debt service</t>
  </si>
  <si>
    <t xml:space="preserve">Loan balance (end of year)</t>
  </si>
  <si>
    <t xml:space="preserve">Loan payoff at exit</t>
  </si>
  <si>
    <t xml:space="preserve">LEVERED NET CASH FLOW</t>
  </si>
  <si>
    <t xml:space="preserve">Cash-on-cash (pre-sale, in hold)</t>
  </si>
  <si>
    <t xml:space="preserve">DSCR (NOI / debt service, in hold)</t>
  </si>
  <si>
    <t xml:space="preserve">PRICE SOLVE (helper rows: exact solution for price at target unlevered IRR)</t>
  </si>
  <si>
    <t xml:space="preserve">Discount factor at target unlevered IRR</t>
  </si>
  <si>
    <t xml:space="preserve">Unlevered CF excl. reassessed tax (in hold + exit)</t>
  </si>
  <si>
    <t xml:space="preserve">Reassessed-tax cost per $1 of price (incl. exit effect)</t>
  </si>
  <si>
    <t xml:space="preserve">RETURNS SUMMARY</t>
  </si>
  <si>
    <t xml:space="preserve">Unlevered IRR</t>
  </si>
  <si>
    <t xml:space="preserve">Unlevered equity multiple</t>
  </si>
  <si>
    <t xml:space="preserve">Levered IRR</t>
  </si>
  <si>
    <t xml:space="preserve">Levered equity multiple</t>
  </si>
  <si>
    <t xml:space="preserve">Going-in cap rate (Year-1 NOI / price)</t>
  </si>
  <si>
    <t xml:space="preserve">Yield on cost (Year-2 NOI / price + closing + capex)</t>
  </si>
  <si>
    <t xml:space="preserve">Levered equity invested at close</t>
  </si>
  <si>
    <t xml:space="preserve">Average cash-on-cash (hold, pre-sale)</t>
  </si>
  <si>
    <t xml:space="preserve">Minimum DSCR (hold)</t>
  </si>
  <si>
    <t xml:space="preserve">Net sale proceeds (before loan payoff)</t>
  </si>
  <si>
    <t xml:space="preserve">Loan balance at exit</t>
  </si>
  <si>
    <t xml:space="preserve">Year-1 NOI</t>
  </si>
  <si>
    <t xml:space="preserve">Loan amount</t>
  </si>
  <si>
    <t xml:space="preserve">SOLVED MAX PRICE at target unlevered IRR</t>
  </si>
  <si>
    <t xml:space="preserve">Solved price per acre</t>
  </si>
  <si>
    <t xml:space="preserve">Input price vs solved price (+ = paying above)</t>
  </si>
  <si>
    <t xml:space="preserve">Year-1 property tax if reassessed at input price</t>
  </si>
  <si>
    <t xml:space="preserve">Sensitivity Engine</t>
  </si>
  <si>
    <t xml:space="preserve">Rent-growth shift applies to tenants with no stated bump. Every cell recomputes with the full model; no data tables or macros.</t>
  </si>
  <si>
    <t xml:space="preserve">Block 1: rent-growth shift</t>
  </si>
  <si>
    <t xml:space="preserve">Block 2: rent-growth shift</t>
  </si>
  <si>
    <t xml:space="preserve">Block 3: rent-growth shift</t>
  </si>
  <si>
    <t xml:space="preserve">Block 4: rent-growth shift</t>
  </si>
  <si>
    <t xml:space="preserve">Block 5: rent-growth shift</t>
  </si>
  <si>
    <t xml:space="preserve">UNLEVERED CASES (exit cap in col B; IRR in col O)</t>
  </si>
  <si>
    <t xml:space="preserve">IRR</t>
  </si>
  <si>
    <t xml:space="preserve">LEVERED CASES (IRR in col O)</t>
  </si>
  <si>
    <t xml:space="preserve">Check: center unlevered case minus CashFlow unlevered IRR (should be 0)</t>
  </si>
  <si>
    <t xml:space="preserve">Check: center levered case minus CashFlow levered IRR (should be 0)</t>
  </si>
</sst>
</file>

<file path=xl/styles.xml><?xml version="1.0" encoding="utf-8"?>
<styleSheet xmlns="http://schemas.openxmlformats.org/spreadsheetml/2006/main">
  <numFmts count="17">
    <numFmt numFmtId="164" formatCode="General"/>
    <numFmt numFmtId="165" formatCode="0"/>
    <numFmt numFmtId="166" formatCode="0.00%"/>
    <numFmt numFmtId="167" formatCode="0.0%"/>
    <numFmt numFmtId="168" formatCode="\$#,##0"/>
    <numFmt numFmtId="169" formatCode="0.0%;\(0.0%\);\-"/>
    <numFmt numFmtId="170" formatCode="0.00\x"/>
    <numFmt numFmtId="171" formatCode="0.0%;\-0.0%;0.0%"/>
    <numFmt numFmtId="172" formatCode="\$#,##0;&quot;($&quot;#,##0\);\-"/>
    <numFmt numFmtId="173" formatCode="0%"/>
    <numFmt numFmtId="174" formatCode="0&quot; tenants&quot;"/>
    <numFmt numFmtId="175" formatCode="#,##0"/>
    <numFmt numFmtId="176" formatCode="General"/>
    <numFmt numFmtId="177" formatCode="#,##0.00"/>
    <numFmt numFmtId="178" formatCode="0.0000"/>
    <numFmt numFmtId="179" formatCode="\+0.0%;\-0.0%;0.0%"/>
    <numFmt numFmtId="180" formatCode="0.0000%"/>
  </numFmts>
  <fonts count="2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Calibri"/>
      <family val="0"/>
      <charset val="1"/>
    </font>
    <font>
      <b val="true"/>
      <sz val="8"/>
      <color rgb="FF4E9FD6"/>
      <name val="Calibri"/>
      <family val="0"/>
      <charset val="1"/>
    </font>
    <font>
      <b val="true"/>
      <sz val="8"/>
      <color rgb="FF0E5AA7"/>
      <name val="Calibri"/>
      <family val="0"/>
      <charset val="1"/>
    </font>
    <font>
      <b val="true"/>
      <sz val="12"/>
      <color rgb="FF0000FF"/>
      <name val="Calibri"/>
      <family val="0"/>
      <charset val="1"/>
    </font>
    <font>
      <b val="true"/>
      <sz val="10"/>
      <color rgb="FF0A2540"/>
      <name val="Calibri"/>
      <family val="0"/>
      <charset val="1"/>
    </font>
    <font>
      <b val="true"/>
      <sz val="22"/>
      <color rgb="FF0A2540"/>
      <name val="Calibri"/>
      <family val="0"/>
      <charset val="1"/>
    </font>
    <font>
      <sz val="8"/>
      <color rgb="FF6B7A88"/>
      <name val="Calibri"/>
      <family val="0"/>
      <charset val="1"/>
    </font>
    <font>
      <b val="true"/>
      <sz val="9"/>
      <color rgb="FF0A2540"/>
      <name val="Calibri"/>
      <family val="0"/>
      <charset val="1"/>
    </font>
    <font>
      <sz val="9"/>
      <color rgb="FF364049"/>
      <name val="Calibri"/>
      <family val="0"/>
      <charset val="1"/>
    </font>
    <font>
      <sz val="9"/>
      <color rgb="FF6B7A88"/>
      <name val="Calibri"/>
      <family val="0"/>
      <charset val="1"/>
    </font>
    <font>
      <b val="true"/>
      <sz val="9"/>
      <color rgb="FF364049"/>
      <name val="Calibri"/>
      <family val="0"/>
      <charset val="1"/>
    </font>
    <font>
      <i val="true"/>
      <sz val="8"/>
      <color rgb="FF6B7A88"/>
      <name val="Calibri"/>
      <family val="0"/>
      <charset val="1"/>
    </font>
    <font>
      <sz val="10"/>
      <color rgb="FF364049"/>
      <name val="Calibri"/>
      <family val="0"/>
      <charset val="1"/>
    </font>
    <font>
      <b val="true"/>
      <sz val="11"/>
      <color rgb="FF0A2540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6"/>
      <color rgb="FF0A2540"/>
      <name val="Calibri"/>
      <family val="0"/>
      <charset val="1"/>
    </font>
    <font>
      <i val="true"/>
      <sz val="10"/>
      <color rgb="FF6B7A88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10"/>
      <color rgb="FF000000"/>
      <name val="Calibri"/>
      <family val="0"/>
      <charset val="1"/>
    </font>
    <font>
      <sz val="10"/>
      <color rgb="FF0000FF"/>
      <name val="Calibri"/>
      <family val="0"/>
      <charset val="1"/>
    </font>
    <font>
      <b val="true"/>
      <sz val="10"/>
      <color rgb="FF000000"/>
      <name val="Calibri"/>
      <family val="0"/>
      <charset val="1"/>
    </font>
    <font>
      <sz val="10"/>
      <color rgb="FF008000"/>
      <name val="Calibri"/>
      <family val="0"/>
      <charset val="1"/>
    </font>
    <font>
      <b val="true"/>
      <sz val="10"/>
      <color rgb="FF0000FF"/>
      <name val="Calibri"/>
      <family val="0"/>
      <charset val="1"/>
    </font>
    <font>
      <b val="true"/>
      <sz val="10"/>
      <color rgb="FF008000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0A2540"/>
        <bgColor rgb="FF003300"/>
      </patternFill>
    </fill>
    <fill>
      <patternFill patternType="solid">
        <fgColor rgb="FFF4F7FA"/>
        <bgColor rgb="FFEEF2F6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thin">
        <color rgb="FF0E5AA7"/>
      </left>
      <right style="thin">
        <color rgb="FF0E5AA7"/>
      </right>
      <top style="thin">
        <color rgb="FF0E5AA7"/>
      </top>
      <bottom style="thin">
        <color rgb="FF0E5AA7"/>
      </bottom>
      <diagonal/>
    </border>
    <border diagonalUp="false" diagonalDown="false">
      <left/>
      <right/>
      <top/>
      <bottom style="medium">
        <color rgb="FF4E9FD6"/>
      </bottom>
      <diagonal/>
    </border>
    <border diagonalUp="false" diagonalDown="false">
      <left style="thin">
        <color rgb="FFDDE4EB"/>
      </left>
      <right style="thin">
        <color rgb="FFDDE4EB"/>
      </right>
      <top style="medium">
        <color rgb="FF0E5AA7"/>
      </top>
      <bottom/>
      <diagonal/>
    </border>
    <border diagonalUp="false" diagonalDown="false">
      <left style="thin">
        <color rgb="FFDDE4EB"/>
      </left>
      <right style="thin">
        <color rgb="FFDDE4EB"/>
      </right>
      <top/>
      <bottom/>
      <diagonal/>
    </border>
    <border diagonalUp="false" diagonalDown="false">
      <left style="thin">
        <color rgb="FFDDE4EB"/>
      </left>
      <right style="thin">
        <color rgb="FFDDE4EB"/>
      </right>
      <top/>
      <bottom style="thin">
        <color rgb="FFDDE4EB"/>
      </bottom>
      <diagonal/>
    </border>
    <border diagonalUp="false" diagonalDown="false">
      <left style="medium">
        <color rgb="FF0A2540"/>
      </left>
      <right style="medium">
        <color rgb="FF0A2540"/>
      </right>
      <top style="medium">
        <color rgb="FF0A2540"/>
      </top>
      <bottom style="medium">
        <color rgb="FF0A2540"/>
      </bottom>
      <diagonal/>
    </border>
    <border diagonalUp="false" diagonalDown="false">
      <left/>
      <right/>
      <top style="thin">
        <color rgb="FF0A2540"/>
      </top>
      <bottom/>
      <diagonal/>
    </border>
    <border diagonalUp="false" diagonalDown="false">
      <left/>
      <right/>
      <top/>
      <bottom style="dotted">
        <color rgb="FF0E5AA7"/>
      </bottom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3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8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8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9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9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9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9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2" fontId="1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3" fontId="1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0" fontId="1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1" fontId="1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1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1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4" fontId="1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3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2" fontId="11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3" fontId="11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1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11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1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1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2" fontId="14" fillId="0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0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2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2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24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24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5" fontId="24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2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6" fontId="2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7" fontId="2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24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5" fontId="2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0" fontId="24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2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2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2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8" fontId="2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2" fontId="2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3" fontId="24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2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3" fontId="2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2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5" fontId="2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8" fontId="24" fillId="0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2" fontId="2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7" fontId="2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7" fontId="2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7" fontId="2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7" fontId="24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0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2" fontId="25" fillId="0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5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25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2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2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8" fontId="2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2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0" fontId="2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8" fontId="2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2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2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9" fontId="2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2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9" fontId="22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2" fontId="2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2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80" fontId="2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ont>
        <name val="Calibri"/>
        <charset val="1"/>
        <family val="0"/>
        <b val="1"/>
        <color rgb="FF1E6B3A"/>
      </font>
      <fill>
        <patternFill>
          <bgColor rgb="FFE4F1E8"/>
        </patternFill>
      </fill>
    </dxf>
    <dxf>
      <font>
        <name val="Calibri"/>
        <charset val="1"/>
        <family val="0"/>
        <b val="1"/>
        <color rgb="FF8A5A00"/>
      </font>
      <fill>
        <patternFill>
          <bgColor rgb="FFFBF1D9"/>
        </patternFill>
      </fill>
    </dxf>
    <dxf>
      <font>
        <name val="Calibri"/>
        <charset val="1"/>
        <family val="0"/>
        <b val="1"/>
        <color rgb="FF9B1C1C"/>
      </font>
      <fill>
        <patternFill>
          <bgColor rgb="FFF9E0E0"/>
        </patternFill>
      </fill>
    </dxf>
    <dxf>
      <font>
        <name val="Calibri"/>
        <charset val="1"/>
        <family val="0"/>
        <b val="1"/>
        <color rgb="FF6B7A88"/>
      </font>
      <fill>
        <patternFill>
          <bgColor rgb="FFEEF2F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5A00"/>
      <rgbColor rgb="FF800080"/>
      <rgbColor rgb="FF1E6B3A"/>
      <rgbColor rgb="FFC0C0C0"/>
      <rgbColor rgb="FF878787"/>
      <rgbColor rgb="FF9999FF"/>
      <rgbColor rgb="FF993366"/>
      <rgbColor rgb="FFFBF1D9"/>
      <rgbColor rgb="FFE4F1E8"/>
      <rgbColor rgb="FF660066"/>
      <rgbColor rgb="FFFF8080"/>
      <rgbColor rgb="FF0E5AA7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2F6"/>
      <rgbColor rgb="FFDDE4EB"/>
      <rgbColor rgb="FFF4F7FA"/>
      <rgbColor rgb="FF99CCFF"/>
      <rgbColor rgb="FFFF99CC"/>
      <rgbColor rgb="FFCC99FF"/>
      <rgbColor rgb="FFF9E0E0"/>
      <rgbColor rgb="FF3366FF"/>
      <rgbColor rgb="FF4E9FD6"/>
      <rgbColor rgb="FF99CC00"/>
      <rgbColor rgb="FFFFCC00"/>
      <rgbColor rgb="FFFF9900"/>
      <rgbColor rgb="FFFF6600"/>
      <rgbColor rgb="FF6B7A88"/>
      <rgbColor rgb="FF969696"/>
      <rgbColor rgb="FF0A2540"/>
      <rgbColor rgb="FF339966"/>
      <rgbColor rgb="FF003300"/>
      <rgbColor rgb="FF333300"/>
      <rgbColor rgb="FF9B1C1C"/>
      <rgbColor rgb="FF993366"/>
      <rgbColor rgb="FF333399"/>
      <rgbColor rgb="FF36404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NOI vs. Cash Flow After Debt Service (Before Sale)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"NOI"</c:f>
              <c:strCache>
                <c:ptCount val="1"/>
                <c:pt idx="0">
                  <c:v>NOI</c:v>
                </c:pt>
              </c:strCache>
            </c:strRef>
          </c:tx>
          <c:spPr>
            <a:solidFill>
              <a:srgbClr val="0e5aa7"/>
            </a:solidFill>
            <a:ln w="0">
              <a:solidFill>
                <a:srgbClr val="0e5aa7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Dashboard!$D$43:$M$43</c:f>
              <c:multiLvlStrCache>
                <c:ptCount val="1"/>
                <c:lvl>
                  <c:pt idx="0">
                    <c:v>Yr 10</c:v>
                  </c:pt>
                </c:lvl>
                <c:lvl>
                  <c:pt idx="0">
                    <c:v>Yr 9</c:v>
                  </c:pt>
                </c:lvl>
                <c:lvl>
                  <c:pt idx="0">
                    <c:v>Yr 8</c:v>
                  </c:pt>
                </c:lvl>
                <c:lvl>
                  <c:pt idx="0">
                    <c:v>Yr 7</c:v>
                  </c:pt>
                </c:lvl>
                <c:lvl>
                  <c:pt idx="0">
                    <c:v>Yr 6</c:v>
                  </c:pt>
                </c:lvl>
                <c:lvl>
                  <c:pt idx="0">
                    <c:v>Yr 5</c:v>
                  </c:pt>
                </c:lvl>
                <c:lvl>
                  <c:pt idx="0">
                    <c:v>Yr 4</c:v>
                  </c:pt>
                </c:lvl>
                <c:lvl>
                  <c:pt idx="0">
                    <c:v>Yr 3</c:v>
                  </c:pt>
                </c:lvl>
                <c:lvl>
                  <c:pt idx="0">
                    <c:v>Yr 2</c:v>
                  </c:pt>
                </c:lvl>
                <c:lvl>
                  <c:pt idx="0">
                    <c:v>Yr 1</c:v>
                  </c:pt>
                </c:lvl>
              </c:multiLvlStrCache>
            </c:multiLvlStrRef>
          </c:cat>
          <c:val>
            <c:numRef>
              <c:f>Dashboard!$D$45:$M$45</c:f>
              <c:numCache>
                <c:formatCode>\$#,##0;"($"#,##0\);\-</c:formatCode>
                <c:ptCount val="10"/>
                <c:pt idx="0">
                  <c:v>427815</c:v>
                </c:pt>
                <c:pt idx="1">
                  <c:v>453859.2</c:v>
                </c:pt>
                <c:pt idx="2">
                  <c:v>459008.994</c:v>
                </c:pt>
                <c:pt idx="3">
                  <c:v>472779.26382</c:v>
                </c:pt>
                <c:pt idx="4">
                  <c:v>486962.6417346</c:v>
                </c:pt>
                <c:pt idx="5">
                  <c:v>475800.858314949</c:v>
                </c:pt>
                <c:pt idx="6">
                  <c:v>490074.884064398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ser>
          <c:idx val="1"/>
          <c:order val="1"/>
          <c:tx>
            <c:strRef>
              <c:f>"Cash flow after debt service"</c:f>
              <c:strCache>
                <c:ptCount val="1"/>
                <c:pt idx="0">
                  <c:v>Cash flow after debt service</c:v>
                </c:pt>
              </c:strCache>
            </c:strRef>
          </c:tx>
          <c:spPr>
            <a:solidFill>
              <a:srgbClr val="4e9fd6"/>
            </a:solidFill>
            <a:ln w="0">
              <a:solidFill>
                <a:srgbClr val="4e9fd6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Dashboard!$D$43:$M$43</c:f>
              <c:multiLvlStrCache>
                <c:ptCount val="1"/>
                <c:lvl>
                  <c:pt idx="0">
                    <c:v>Yr 10</c:v>
                  </c:pt>
                </c:lvl>
                <c:lvl>
                  <c:pt idx="0">
                    <c:v>Yr 9</c:v>
                  </c:pt>
                </c:lvl>
                <c:lvl>
                  <c:pt idx="0">
                    <c:v>Yr 8</c:v>
                  </c:pt>
                </c:lvl>
                <c:lvl>
                  <c:pt idx="0">
                    <c:v>Yr 7</c:v>
                  </c:pt>
                </c:lvl>
                <c:lvl>
                  <c:pt idx="0">
                    <c:v>Yr 6</c:v>
                  </c:pt>
                </c:lvl>
                <c:lvl>
                  <c:pt idx="0">
                    <c:v>Yr 5</c:v>
                  </c:pt>
                </c:lvl>
                <c:lvl>
                  <c:pt idx="0">
                    <c:v>Yr 4</c:v>
                  </c:pt>
                </c:lvl>
                <c:lvl>
                  <c:pt idx="0">
                    <c:v>Yr 3</c:v>
                  </c:pt>
                </c:lvl>
                <c:lvl>
                  <c:pt idx="0">
                    <c:v>Yr 2</c:v>
                  </c:pt>
                </c:lvl>
                <c:lvl>
                  <c:pt idx="0">
                    <c:v>Yr 1</c:v>
                  </c:pt>
                </c:lvl>
              </c:multiLvlStrCache>
            </c:multiLvlStrRef>
          </c:cat>
          <c:val>
            <c:numRef>
              <c:f>Dashboard!$D$48:$M$48</c:f>
              <c:numCache>
                <c:formatCode>\$#,##0;"($"#,##0\);\-</c:formatCode>
                <c:ptCount val="10"/>
                <c:pt idx="0">
                  <c:v>111127.5</c:v>
                </c:pt>
                <c:pt idx="1">
                  <c:v>204671.7</c:v>
                </c:pt>
                <c:pt idx="2">
                  <c:v>208208.110347809</c:v>
                </c:pt>
                <c:pt idx="3">
                  <c:v>221978.380167809</c:v>
                </c:pt>
                <c:pt idx="4">
                  <c:v>236161.758082409</c:v>
                </c:pt>
                <c:pt idx="5">
                  <c:v>224999.974662758</c:v>
                </c:pt>
                <c:pt idx="6">
                  <c:v>239274.000412207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gapWidth val="60"/>
        <c:overlap val="0"/>
        <c:axId val="78085201"/>
        <c:axId val="89805083"/>
      </c:barChart>
      <c:catAx>
        <c:axId val="7808520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9805083"/>
        <c:crosses val="autoZero"/>
        <c:auto val="1"/>
        <c:lblAlgn val="ctr"/>
        <c:lblOffset val="100"/>
        <c:noMultiLvlLbl val="0"/>
      </c:catAx>
      <c:valAx>
        <c:axId val="89805083"/>
        <c:scaling>
          <c:orientation val="minMax"/>
        </c:scaling>
        <c:delete val="0"/>
        <c:axPos val="l"/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8085201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51</xdr:row>
      <xdr:rowOff>0</xdr:rowOff>
    </xdr:from>
    <xdr:to>
      <xdr:col>11</xdr:col>
      <xdr:colOff>556560</xdr:colOff>
      <xdr:row>65</xdr:row>
      <xdr:rowOff>32760</xdr:rowOff>
    </xdr:to>
    <xdr:graphicFrame>
      <xdr:nvGraphicFramePr>
        <xdr:cNvPr id="0" name="Chart 1"/>
        <xdr:cNvGraphicFramePr/>
      </xdr:nvGraphicFramePr>
      <xdr:xfrm>
        <a:off x="141120" y="10963440"/>
        <a:ext cx="971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A2540"/>
    <pageSetUpPr fitToPage="true"/>
  </sheetPr>
  <dimension ref="B2:M50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13" min="2" style="0" width="13"/>
  </cols>
  <sheetData>
    <row r="2" customFormat="false" ht="36" hidden="false" customHeight="true" outlineLevel="0" collapsed="false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customFormat="false" ht="18" hidden="false" customHeight="true" outlineLevel="0" collapsed="false">
      <c r="B3" s="2" t="s">
        <v>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customFormat="false" ht="24" hidden="false" customHeight="true" outlineLevel="0" collapsed="false">
      <c r="B4" s="3" t="s">
        <v>2</v>
      </c>
      <c r="C4" s="3"/>
      <c r="D4" s="4" t="s">
        <v>3</v>
      </c>
      <c r="E4" s="4"/>
      <c r="F4" s="3" t="s">
        <v>4</v>
      </c>
      <c r="G4" s="3"/>
      <c r="H4" s="5" t="n">
        <f aca="false">Hold</f>
        <v>7</v>
      </c>
      <c r="I4" s="3" t="s">
        <v>5</v>
      </c>
      <c r="J4" s="3"/>
      <c r="K4" s="6" t="n">
        <f aca="false">ExitCap</f>
        <v>0.07</v>
      </c>
      <c r="L4" s="7" t="s">
        <v>6</v>
      </c>
      <c r="M4" s="8" t="n">
        <f aca="false">RentGrowth</f>
        <v>0.03</v>
      </c>
    </row>
    <row r="6" customFormat="false" ht="15" hidden="false" customHeight="false" outlineLevel="0" collapsed="false">
      <c r="B6" s="9" t="s">
        <v>7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</row>
    <row r="7" customFormat="false" ht="18" hidden="false" customHeight="true" outlineLevel="0" collapsed="false">
      <c r="B7" s="10" t="s">
        <v>8</v>
      </c>
      <c r="C7" s="10"/>
      <c r="D7" s="10"/>
      <c r="E7" s="10" t="s">
        <v>9</v>
      </c>
      <c r="F7" s="10"/>
      <c r="G7" s="10"/>
      <c r="H7" s="10" t="s">
        <v>10</v>
      </c>
      <c r="I7" s="10"/>
      <c r="J7" s="10"/>
      <c r="K7" s="10" t="s">
        <v>11</v>
      </c>
      <c r="L7" s="10"/>
      <c r="M7" s="10"/>
    </row>
    <row r="8" customFormat="false" ht="33.75" hidden="false" customHeight="true" outlineLevel="0" collapsed="false">
      <c r="B8" s="11" t="n">
        <f aca="false">PurchPrice</f>
        <v>5500000</v>
      </c>
      <c r="C8" s="11"/>
      <c r="D8" s="11"/>
      <c r="E8" s="12" t="n">
        <f aca="false">CashFlow!$C$70</f>
        <v>0.0777845454545455</v>
      </c>
      <c r="F8" s="12"/>
      <c r="G8" s="12"/>
      <c r="H8" s="13" t="n">
        <f aca="false">CashFlow!$C$66</f>
        <v>0.105295407645052</v>
      </c>
      <c r="I8" s="13"/>
      <c r="J8" s="13"/>
      <c r="K8" s="13" t="n">
        <f aca="false">CashFlow!$C$68</f>
        <v>0.138939006987421</v>
      </c>
      <c r="L8" s="13"/>
      <c r="M8" s="13"/>
    </row>
    <row r="9" customFormat="false" ht="15" hidden="false" customHeight="false" outlineLevel="0" collapsed="false">
      <c r="B9" s="14" t="str">
        <f aca="false">TEXT(PurchPrice/Acres,"$#,##0")&amp;" per acre, placeholder"</f>
        <v>$148,649 per acre, placeholder</v>
      </c>
      <c r="C9" s="14"/>
      <c r="D9" s="14"/>
      <c r="E9" s="14" t="str">
        <f aca="false">"Year-1 NOI "&amp;TEXT(CashFlow!$C$78,"$#,##0")</f>
        <v>Year-1 NOI $427,815</v>
      </c>
      <c r="F9" s="14"/>
      <c r="G9" s="14"/>
      <c r="H9" s="14" t="str">
        <f aca="false">"Equity multiple "&amp;TEXT(CashFlow!$C$67,"0.00")&amp;"x"</f>
        <v>Equity multiple 1.82x</v>
      </c>
      <c r="I9" s="14"/>
      <c r="J9" s="14"/>
      <c r="K9" s="14" t="str">
        <f aca="false">"Equity multiple "&amp;TEXT(CashFlow!$C$69,"0.00")&amp;"x"</f>
        <v>Equity multiple 2.23x</v>
      </c>
      <c r="L9" s="14"/>
      <c r="M9" s="14"/>
    </row>
    <row r="11" customFormat="false" ht="18" hidden="false" customHeight="true" outlineLevel="0" collapsed="false">
      <c r="B11" s="10" t="s">
        <v>12</v>
      </c>
      <c r="C11" s="10"/>
      <c r="D11" s="10"/>
      <c r="E11" s="10" t="s">
        <v>13</v>
      </c>
      <c r="F11" s="10"/>
      <c r="G11" s="10"/>
      <c r="H11" s="10" t="s">
        <v>14</v>
      </c>
      <c r="I11" s="10"/>
      <c r="J11" s="10"/>
      <c r="K11" s="10" t="s">
        <v>15</v>
      </c>
      <c r="L11" s="10"/>
      <c r="M11" s="10"/>
    </row>
    <row r="12" customFormat="false" ht="33.75" hidden="false" customHeight="true" outlineLevel="0" collapsed="false">
      <c r="B12" s="11" t="n">
        <f aca="false">CashFlow!$C$78</f>
        <v>427815</v>
      </c>
      <c r="C12" s="11"/>
      <c r="D12" s="11"/>
      <c r="E12" s="12" t="n">
        <f aca="false">CashFlow!$C$71</f>
        <v>0.0790695470383275</v>
      </c>
      <c r="F12" s="12"/>
      <c r="G12" s="12"/>
      <c r="H12" s="13" t="n">
        <f aca="false">CashFlow!$C$73</f>
        <v>0.0798499205693304</v>
      </c>
      <c r="I12" s="13"/>
      <c r="J12" s="13"/>
      <c r="K12" s="15" t="n">
        <f aca="false">IF(LevOn=0,"n/a",CashFlow!$C$74)</f>
        <v>1.83017295360311</v>
      </c>
      <c r="L12" s="15"/>
      <c r="M12" s="15"/>
    </row>
    <row r="13" customFormat="false" ht="15" hidden="false" customHeight="false" outlineLevel="0" collapsed="false">
      <c r="B13" s="14" t="str">
        <f aca="false">"Scenario revenue "&amp;TEXT(CashFlow!$D$19,"$#,##0")</f>
        <v>Scenario revenue $457,700</v>
      </c>
      <c r="C13" s="14"/>
      <c r="D13" s="14"/>
      <c r="E13" s="14" t="str">
        <f aca="false">"Year-2 NOI on total cost incl. capex"</f>
        <v>Year-2 NOI on total cost incl. capex</v>
      </c>
      <c r="F13" s="14"/>
      <c r="G13" s="14"/>
      <c r="H13" s="14" t="str">
        <f aca="false">"Equity "&amp;TEXT(CashFlow!$C$72,"$#,##0")</f>
        <v>Equity $2,587,750</v>
      </c>
      <c r="I13" s="14"/>
      <c r="J13" s="14"/>
      <c r="K13" s="14" t="str">
        <f aca="false">"Loan "&amp;TEXT(CashFlow!$C$79,"$#,##0")&amp;" at "&amp;TEXT(LoanLTV,"0%")&amp;" LTV"</f>
        <v>Loan $3,025,000 at 55% LTV</v>
      </c>
      <c r="L13" s="14"/>
      <c r="M13" s="14"/>
    </row>
    <row r="15" customFormat="false" ht="18" hidden="false" customHeight="true" outlineLevel="0" collapsed="false">
      <c r="B15" s="10" t="s">
        <v>16</v>
      </c>
      <c r="C15" s="10"/>
      <c r="D15" s="10"/>
      <c r="E15" s="10" t="s">
        <v>17</v>
      </c>
      <c r="F15" s="10"/>
      <c r="G15" s="10"/>
      <c r="H15" s="10" t="s">
        <v>18</v>
      </c>
      <c r="I15" s="10"/>
      <c r="J15" s="10"/>
      <c r="K15" s="10" t="s">
        <v>19</v>
      </c>
      <c r="L15" s="10"/>
      <c r="M15" s="10"/>
    </row>
    <row r="16" customFormat="false" ht="33.75" hidden="false" customHeight="true" outlineLevel="0" collapsed="false">
      <c r="B16" s="11" t="n">
        <f aca="false">CashFlow!$C$75</f>
        <v>7211101.86551899</v>
      </c>
      <c r="C16" s="11"/>
      <c r="D16" s="11"/>
      <c r="E16" s="11" t="n">
        <f aca="false">CashFlow!$C$80</f>
        <v>5656335.31304628</v>
      </c>
      <c r="F16" s="11"/>
      <c r="G16" s="11"/>
      <c r="H16" s="11" t="n">
        <f aca="false">RentRoll!$H$17</f>
        <v>711200</v>
      </c>
      <c r="I16" s="11"/>
      <c r="J16" s="11"/>
      <c r="K16" s="16" t="n">
        <f aca="false">CashFlow!$C$82</f>
        <v>-0.0276389754839479</v>
      </c>
      <c r="L16" s="16"/>
      <c r="M16" s="16"/>
    </row>
    <row r="17" customFormat="false" ht="15" hidden="false" customHeight="false" outlineLevel="0" collapsed="false">
      <c r="B17" s="14" t="str">
        <f aca="false">"Exit cap "&amp;TEXT(ExitCap,"0.00%")&amp;" on forward NOI"</f>
        <v>Exit cap 7.00% on forward NOI</v>
      </c>
      <c r="C17" s="14"/>
      <c r="D17" s="14"/>
      <c r="E17" s="14" t="str">
        <f aca="false">TEXT(CashFlow!$C$81,"$#,##0")&amp;" per acre at "&amp;TEXT(TgtUnlev,"0.0%")&amp;" unlevered"</f>
        <v>$152,874 per acre at 10.0% unlevered</v>
      </c>
      <c r="F17" s="14"/>
      <c r="G17" s="14"/>
      <c r="H17" s="14" t="str">
        <f aca="false">"In this scenario: "&amp;TEXT(RentRoll!$H$20,"$#,##0")&amp;" per year"</f>
        <v>In this scenario: $471,200 per year</v>
      </c>
      <c r="I17" s="14"/>
      <c r="J17" s="14"/>
      <c r="K17" s="14" t="str">
        <f aca="false">"Positive = paying above the target-IRR price"</f>
        <v>Positive = paying above the target-IRR price</v>
      </c>
      <c r="L17" s="14"/>
      <c r="M17" s="14"/>
    </row>
    <row r="19" customFormat="false" ht="15" hidden="false" customHeight="false" outlineLevel="0" collapsed="false">
      <c r="B19" s="9" t="s">
        <v>20</v>
      </c>
      <c r="C19" s="9"/>
      <c r="D19" s="9"/>
      <c r="E19" s="9"/>
      <c r="F19" s="9"/>
      <c r="G19" s="9"/>
      <c r="H19" s="9" t="s">
        <v>21</v>
      </c>
      <c r="I19" s="9"/>
      <c r="J19" s="9"/>
      <c r="K19" s="9"/>
      <c r="L19" s="9"/>
      <c r="M19" s="9"/>
    </row>
    <row r="20" customFormat="false" ht="15" hidden="false" customHeight="false" outlineLevel="0" collapsed="false">
      <c r="B20" s="17" t="s">
        <v>22</v>
      </c>
      <c r="C20" s="17"/>
      <c r="D20" s="17"/>
      <c r="E20" s="18" t="s">
        <v>23</v>
      </c>
      <c r="F20" s="18" t="s">
        <v>24</v>
      </c>
      <c r="G20" s="18" t="s">
        <v>25</v>
      </c>
      <c r="H20" s="17" t="s">
        <v>26</v>
      </c>
      <c r="I20" s="17"/>
      <c r="J20" s="17"/>
      <c r="K20" s="18" t="s">
        <v>27</v>
      </c>
      <c r="L20" s="18" t="s">
        <v>28</v>
      </c>
      <c r="M20" s="18" t="s">
        <v>29</v>
      </c>
    </row>
    <row r="21" customFormat="false" ht="15" hidden="false" customHeight="false" outlineLevel="0" collapsed="false">
      <c r="B21" s="19" t="s">
        <v>30</v>
      </c>
      <c r="C21" s="19"/>
      <c r="D21" s="19"/>
      <c r="E21" s="20" t="n">
        <f aca="false">CashFlow!$C$66</f>
        <v>0.105295407645052</v>
      </c>
      <c r="F21" s="21" t="str">
        <f aca="false">"≥ "&amp;TEXT(TgtUnlev,"0.0%")</f>
        <v>≥ 10.0%</v>
      </c>
      <c r="G21" s="22" t="str">
        <f aca="false">IF(NOT(ISNUMBER(E21)),"FLAG",IF(E21&gt;=TgtUnlev,"PASS",IF(E21&gt;=TgtUnlev-0.02,"WATCH","FLAG")))</f>
        <v>PASS</v>
      </c>
      <c r="H21" s="19" t="str">
        <f aca="false">RentRoll!B6&amp;IF(RentRoll!C6="Pipeline"," (pipeline)","")</f>
        <v>S&amp;A Leasing</v>
      </c>
      <c r="I21" s="19"/>
      <c r="J21" s="19"/>
      <c r="K21" s="23" t="n">
        <f aca="false">RentRoll!H6</f>
        <v>156000</v>
      </c>
      <c r="L21" s="24" t="n">
        <f aca="false">RentRoll!P6</f>
        <v>1</v>
      </c>
      <c r="M21" s="23" t="n">
        <f aca="false">K21*L21</f>
        <v>156000</v>
      </c>
    </row>
    <row r="22" customFormat="false" ht="15" hidden="false" customHeight="false" outlineLevel="0" collapsed="false">
      <c r="B22" s="19" t="s">
        <v>31</v>
      </c>
      <c r="C22" s="19"/>
      <c r="D22" s="19"/>
      <c r="E22" s="20" t="n">
        <f aca="false">CashFlow!$C$68</f>
        <v>0.138939006987421</v>
      </c>
      <c r="F22" s="21" t="str">
        <f aca="false">"≥ "&amp;TEXT(TgtLev,"0.0%")</f>
        <v>≥ 15.0%</v>
      </c>
      <c r="G22" s="22" t="str">
        <f aca="false">IF(LevOn=0,"N/A",IF(NOT(ISNUMBER(E22)),"FLAG",IF(E22&gt;=TgtLev,"PASS",IF(E22&gt;=TgtLev-0.03,"WATCH","FLAG"))))</f>
        <v>WATCH</v>
      </c>
      <c r="H22" s="19" t="str">
        <f aca="false">RentRoll!B7&amp;IF(RentRoll!C7="Pipeline"," (pipeline)","")</f>
        <v>Reindeer (Prime)</v>
      </c>
      <c r="I22" s="19"/>
      <c r="J22" s="19"/>
      <c r="K22" s="23" t="n">
        <f aca="false">RentRoll!H7</f>
        <v>84000</v>
      </c>
      <c r="L22" s="24" t="n">
        <f aca="false">RentRoll!P7</f>
        <v>1</v>
      </c>
      <c r="M22" s="23" t="n">
        <f aca="false">K22*L22</f>
        <v>84000</v>
      </c>
    </row>
    <row r="23" customFormat="false" ht="15" hidden="false" customHeight="false" outlineLevel="0" collapsed="false">
      <c r="B23" s="19" t="s">
        <v>32</v>
      </c>
      <c r="C23" s="19"/>
      <c r="D23" s="19"/>
      <c r="E23" s="25" t="n">
        <f aca="false">IF(LevOn=0,"n/a",CashFlow!$C$74)</f>
        <v>1.83017295360311</v>
      </c>
      <c r="F23" s="21" t="str">
        <f aca="false">"≥ "&amp;TEXT(MinDSCR,"0.00")&amp;"x"</f>
        <v>≥ 1.25x</v>
      </c>
      <c r="G23" s="22" t="str">
        <f aca="false">IF(LevOn=0,"N/A",IF(E23&gt;=MinDSCR,"PASS",IF(E23&gt;=MinDSCR-0.15,"WATCH","FLAG")))</f>
        <v>PASS</v>
      </c>
      <c r="H23" s="19" t="str">
        <f aca="false">RentRoll!B8&amp;IF(RentRoll!C8="Pipeline"," (pipeline)","")</f>
        <v>Straight 6</v>
      </c>
      <c r="I23" s="19"/>
      <c r="J23" s="19"/>
      <c r="K23" s="23" t="n">
        <f aca="false">RentRoll!H8</f>
        <v>78000</v>
      </c>
      <c r="L23" s="24" t="n">
        <f aca="false">RentRoll!P8</f>
        <v>1</v>
      </c>
      <c r="M23" s="23" t="n">
        <f aca="false">K23*L23</f>
        <v>78000</v>
      </c>
    </row>
    <row r="24" customFormat="false" ht="15" hidden="false" customHeight="false" outlineLevel="0" collapsed="false">
      <c r="B24" s="19" t="s">
        <v>33</v>
      </c>
      <c r="C24" s="19"/>
      <c r="D24" s="19"/>
      <c r="E24" s="26" t="n">
        <f aca="false">CashFlow!$C$82</f>
        <v>-0.0276389754839479</v>
      </c>
      <c r="F24" s="21" t="str">
        <f aca="false">"≤ 0%"</f>
        <v>≤ 0%</v>
      </c>
      <c r="G24" s="22" t="str">
        <f aca="false">IF(E24&lt;=0,"PASS",IF(E24&lt;=0.05,"WATCH","FLAG"))</f>
        <v>PASS</v>
      </c>
      <c r="H24" s="19" t="str">
        <f aca="false">RentRoll!B9&amp;IF(RentRoll!C9="Pipeline"," (pipeline)","")</f>
        <v>Big Dawgs (repo)</v>
      </c>
      <c r="I24" s="19"/>
      <c r="J24" s="19"/>
      <c r="K24" s="23" t="n">
        <f aca="false">RentRoll!H9</f>
        <v>48000</v>
      </c>
      <c r="L24" s="24" t="n">
        <f aca="false">RentRoll!P9</f>
        <v>1</v>
      </c>
      <c r="M24" s="23" t="n">
        <f aca="false">K24*L24</f>
        <v>48000</v>
      </c>
    </row>
    <row r="25" customFormat="false" ht="15" hidden="false" customHeight="false" outlineLevel="0" collapsed="false">
      <c r="B25" s="19" t="s">
        <v>34</v>
      </c>
      <c r="C25" s="19"/>
      <c r="D25" s="19"/>
      <c r="E25" s="27" t="n">
        <f aca="false">CashFlow!$C$83</f>
        <v>121000</v>
      </c>
      <c r="F25" s="21" t="str">
        <f aca="false">"vs seller "&amp;TEXT(SellerTax,"$#,##0")</f>
        <v>vs seller $5,000</v>
      </c>
      <c r="G25" s="22" t="str">
        <f aca="false">IF(TaxSwitch=1,"PASS",IF(E25&gt;2*SellerTax,"FLAG","WATCH"))</f>
        <v>FLAG</v>
      </c>
      <c r="H25" s="19" t="str">
        <f aca="false">RentRoll!B10&amp;IF(RentRoll!C10="Pipeline"," (pipeline)","")</f>
        <v>Individual tenants (various)</v>
      </c>
      <c r="I25" s="19"/>
      <c r="J25" s="19"/>
      <c r="K25" s="23" t="n">
        <f aca="false">RentRoll!H10</f>
        <v>25200</v>
      </c>
      <c r="L25" s="24" t="n">
        <f aca="false">RentRoll!P10</f>
        <v>1</v>
      </c>
      <c r="M25" s="23" t="n">
        <f aca="false">K25*L25</f>
        <v>25200</v>
      </c>
    </row>
    <row r="26" customFormat="false" ht="15" hidden="false" customHeight="false" outlineLevel="0" collapsed="false">
      <c r="B26" s="19" t="s">
        <v>35</v>
      </c>
      <c r="C26" s="19"/>
      <c r="D26" s="19"/>
      <c r="E26" s="28" t="str">
        <f aca="false">TEXT(MgmtPct,"0.0%")&amp;" / $"&amp;TEXT(ReservePerAcre,"#,##0")&amp;" ac"</f>
        <v>0.0% / $0 ac</v>
      </c>
      <c r="F26" s="21" t="str">
        <f aca="false">"Both above 0"</f>
        <v>Both above 0</v>
      </c>
      <c r="G26" s="22" t="str">
        <f aca="false">IF(AND(MgmtPct&gt;0,ReservePerAcre&gt;0),"PASS","WATCH")</f>
        <v>WATCH</v>
      </c>
      <c r="H26" s="19" t="str">
        <f aca="false">RentRoll!B11&amp;IF(RentRoll!C11="Pipeline"," (pipeline)","")</f>
        <v>CDL driver training</v>
      </c>
      <c r="I26" s="19"/>
      <c r="J26" s="19"/>
      <c r="K26" s="23" t="n">
        <f aca="false">RentRoll!H11</f>
        <v>18000</v>
      </c>
      <c r="L26" s="24" t="n">
        <f aca="false">RentRoll!P11</f>
        <v>1</v>
      </c>
      <c r="M26" s="23" t="n">
        <f aca="false">K26*L26</f>
        <v>18000</v>
      </c>
    </row>
    <row r="27" customFormat="false" ht="15" hidden="false" customHeight="false" outlineLevel="0" collapsed="false">
      <c r="B27" s="19" t="s">
        <v>36</v>
      </c>
      <c r="C27" s="19"/>
      <c r="D27" s="19"/>
      <c r="E27" s="29" t="n">
        <f aca="false">IF(CashFlow!$E$19=0,0,SUMIF(RentRoll!$C$6:$C$15,"Pipeline",CashFlow!$E$9:$E$18)/CashFlow!$E$19)</f>
        <v>0.114601018675722</v>
      </c>
      <c r="F27" s="21" t="str">
        <f aca="false">"≤ 15%"</f>
        <v>≤ 15%</v>
      </c>
      <c r="G27" s="22" t="str">
        <f aca="false">IF(E27&lt;=0.15,"PASS",IF(E27&lt;=0.3,"WATCH","FLAG"))</f>
        <v>PASS</v>
      </c>
      <c r="H27" s="19" t="str">
        <f aca="false">RentRoll!B12&amp;IF(RentRoll!C12="Pipeline"," (pipeline)","")</f>
        <v>Alamo Fireworks</v>
      </c>
      <c r="I27" s="19"/>
      <c r="J27" s="19"/>
      <c r="K27" s="23" t="n">
        <f aca="false">RentRoll!H12</f>
        <v>8000</v>
      </c>
      <c r="L27" s="24" t="n">
        <f aca="false">RentRoll!P12</f>
        <v>1</v>
      </c>
      <c r="M27" s="23" t="n">
        <f aca="false">K27*L27</f>
        <v>8000</v>
      </c>
    </row>
    <row r="28" customFormat="false" ht="15" hidden="false" customHeight="false" outlineLevel="0" collapsed="false">
      <c r="B28" s="19" t="s">
        <v>37</v>
      </c>
      <c r="C28" s="19"/>
      <c r="D28" s="19"/>
      <c r="E28" s="29" t="n">
        <f aca="false">IF(CashFlow!$D$19=0,0,MAX(CashFlow!$D$9:$D$18)/CashFlow!$D$19)</f>
        <v>0.340834607821717</v>
      </c>
      <c r="F28" s="21" t="str">
        <f aca="false">"≤ 35%"</f>
        <v>≤ 35%</v>
      </c>
      <c r="G28" s="22" t="str">
        <f aca="false">IF(E28&lt;=0.35,"PASS",IF(E28&lt;=0.5,"WATCH","FLAG"))</f>
        <v>PASS</v>
      </c>
      <c r="H28" s="19" t="str">
        <f aca="false">RentRoll!B13&amp;IF(RentRoll!C13="Pipeline"," (pipeline)","")</f>
        <v>Prime expansion (+1 ac) (pipeline)</v>
      </c>
      <c r="I28" s="19"/>
      <c r="J28" s="19"/>
      <c r="K28" s="23" t="n">
        <f aca="false">RentRoll!H13</f>
        <v>42000</v>
      </c>
      <c r="L28" s="24" t="n">
        <f aca="false">RentRoll!P13</f>
        <v>1</v>
      </c>
      <c r="M28" s="23" t="n">
        <f aca="false">K28*L28</f>
        <v>42000</v>
      </c>
    </row>
    <row r="29" customFormat="false" ht="15" hidden="false" customHeight="false" outlineLevel="0" collapsed="false">
      <c r="B29" s="19" t="s">
        <v>38</v>
      </c>
      <c r="C29" s="19"/>
      <c r="D29" s="19"/>
      <c r="E29" s="30" t="n">
        <f aca="false">SUMPRODUCT((RentRoll!$K$6:$K$15&lt;&gt;"")*(RentRoll!$K$6:$K$15&lt;=Hold*12)*(RentRoll!$P$6:$P$15&gt;0))</f>
        <v>2</v>
      </c>
      <c r="F29" s="21" t="str">
        <f aca="false">"0"</f>
        <v>0</v>
      </c>
      <c r="G29" s="22" t="str">
        <f aca="false">IF(E29=0,"PASS","WATCH")</f>
        <v>WATCH</v>
      </c>
      <c r="H29" s="19" t="str">
        <f aca="false">RentRoll!B14&amp;IF(RentRoll!C14="Pipeline"," (pipeline)","")</f>
        <v>Straight 6 expansion (~10 spots) (pipeline)</v>
      </c>
      <c r="I29" s="19"/>
      <c r="J29" s="19"/>
      <c r="K29" s="23" t="n">
        <f aca="false">RentRoll!H14</f>
        <v>12000</v>
      </c>
      <c r="L29" s="24" t="n">
        <f aca="false">RentRoll!P14</f>
        <v>1</v>
      </c>
      <c r="M29" s="23" t="n">
        <f aca="false">K29*L29</f>
        <v>12000</v>
      </c>
    </row>
    <row r="30" customFormat="false" ht="15" hidden="false" customHeight="false" outlineLevel="0" collapsed="false">
      <c r="B30" s="19" t="s">
        <v>39</v>
      </c>
      <c r="C30" s="19"/>
      <c r="D30" s="19"/>
      <c r="E30" s="29" t="n">
        <f aca="false">IF(CashFlow!$D$19=0,0,SUMPRODUCT((RentRoll!$K$6:$K$15="")*CashFlow!$D$9:$D$18)/CashFlow!$D$19)</f>
        <v>0.475639064889666</v>
      </c>
      <c r="F30" s="21" t="str">
        <f aca="false">"≤ 40%"</f>
        <v>≤ 40%</v>
      </c>
      <c r="G30" s="22" t="str">
        <f aca="false">IF(E30&lt;=0.4,"PASS",IF(E30&lt;=0.6,"WATCH","FLAG"))</f>
        <v>WATCH</v>
      </c>
      <c r="H30" s="19" t="str">
        <f aca="false">RentRoll!B15&amp;IF(RentRoll!C15="Pipeline"," (pipeline)","")</f>
        <v>Large tenant (~5.75 ac, in county) (pipeline)</v>
      </c>
      <c r="I30" s="19"/>
      <c r="J30" s="19"/>
      <c r="K30" s="23" t="n">
        <f aca="false">RentRoll!H15</f>
        <v>240000</v>
      </c>
      <c r="L30" s="24" t="n">
        <f aca="false">RentRoll!P15</f>
        <v>0</v>
      </c>
      <c r="M30" s="23" t="n">
        <f aca="false">K30*L30</f>
        <v>0</v>
      </c>
    </row>
    <row r="31" customFormat="false" ht="15" hidden="false" customHeight="false" outlineLevel="0" collapsed="false">
      <c r="B31" s="31" t="s">
        <v>40</v>
      </c>
      <c r="C31" s="31"/>
      <c r="D31" s="31"/>
      <c r="E31" s="31"/>
      <c r="F31" s="31"/>
      <c r="G31" s="31"/>
      <c r="H31" s="32" t="s">
        <v>18</v>
      </c>
      <c r="I31" s="32"/>
      <c r="J31" s="32"/>
      <c r="K31" s="33" t="n">
        <f aca="false">SUM(K21:K30)</f>
        <v>711200</v>
      </c>
      <c r="L31" s="34" t="n">
        <f aca="false">IF(K31=0,0,M31/K31)</f>
        <v>0.662542182227222</v>
      </c>
      <c r="M31" s="33" t="n">
        <f aca="false">SUM(M21:M30)</f>
        <v>471200</v>
      </c>
    </row>
    <row r="33" customFormat="false" ht="15" hidden="false" customHeight="false" outlineLevel="0" collapsed="false">
      <c r="B33" s="9" t="s">
        <v>41</v>
      </c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</row>
    <row r="34" customFormat="false" ht="15" hidden="false" customHeight="false" outlineLevel="0" collapsed="false">
      <c r="B34" s="35" t="s">
        <v>10</v>
      </c>
      <c r="C34" s="35"/>
      <c r="D34" s="35"/>
      <c r="E34" s="35"/>
      <c r="F34" s="35"/>
      <c r="G34" s="35"/>
      <c r="H34" s="35" t="s">
        <v>11</v>
      </c>
      <c r="I34" s="35"/>
      <c r="J34" s="35"/>
      <c r="K34" s="35"/>
      <c r="L34" s="35"/>
      <c r="M34" s="35"/>
    </row>
    <row r="35" customFormat="false" ht="15" hidden="false" customHeight="false" outlineLevel="0" collapsed="false">
      <c r="B35" s="36" t="s">
        <v>42</v>
      </c>
      <c r="C35" s="37" t="n">
        <f aca="false">Sens!$B$79</f>
        <v>0.06</v>
      </c>
      <c r="D35" s="37" t="n">
        <f aca="false">Sens!$B$80</f>
        <v>0.065</v>
      </c>
      <c r="E35" s="37" t="n">
        <f aca="false">Sens!$B$81</f>
        <v>0.07</v>
      </c>
      <c r="F35" s="37" t="n">
        <f aca="false">Sens!$B$82</f>
        <v>0.075</v>
      </c>
      <c r="G35" s="37" t="n">
        <f aca="false">Sens!$B$83</f>
        <v>0.08</v>
      </c>
      <c r="H35" s="36" t="s">
        <v>42</v>
      </c>
      <c r="I35" s="37" t="n">
        <f aca="false">Sens!$B$79</f>
        <v>0.06</v>
      </c>
      <c r="J35" s="37" t="n">
        <f aca="false">Sens!$B$80</f>
        <v>0.065</v>
      </c>
      <c r="K35" s="37" t="n">
        <f aca="false">Sens!$B$81</f>
        <v>0.07</v>
      </c>
      <c r="L35" s="37" t="n">
        <f aca="false">Sens!$B$82</f>
        <v>0.075</v>
      </c>
      <c r="M35" s="37" t="n">
        <f aca="false">Sens!$B$83</f>
        <v>0.08</v>
      </c>
    </row>
    <row r="36" customFormat="false" ht="15" hidden="false" customHeight="false" outlineLevel="0" collapsed="false">
      <c r="B36" s="38" t="n">
        <f aca="false">RentGrowth+Sens!$B$6</f>
        <v>0.01</v>
      </c>
      <c r="C36" s="39" t="n">
        <f aca="false">Sens!$O$79</f>
        <v>0.109783684438446</v>
      </c>
      <c r="D36" s="39" t="n">
        <f aca="false">Sens!$O$80</f>
        <v>0.100088686626498</v>
      </c>
      <c r="E36" s="39" t="n">
        <f aca="false">Sens!$O$81</f>
        <v>0.0913105460154463</v>
      </c>
      <c r="F36" s="39" t="n">
        <f aca="false">Sens!$O$82</f>
        <v>0.0833103053236118</v>
      </c>
      <c r="G36" s="39" t="n">
        <f aca="false">Sens!$O$83</f>
        <v>0.0759774228489328</v>
      </c>
      <c r="H36" s="38" t="n">
        <f aca="false">RentGrowth+Sens!$B$6</f>
        <v>0.01</v>
      </c>
      <c r="I36" s="39" t="n">
        <f aca="false">Sens!$O$106</f>
        <v>0.146486798833292</v>
      </c>
      <c r="J36" s="39" t="n">
        <f aca="false">Sens!$O$107</f>
        <v>0.129423786994821</v>
      </c>
      <c r="K36" s="39" t="n">
        <f aca="false">Sens!$O$108</f>
        <v>0.113346390259097</v>
      </c>
      <c r="L36" s="39" t="n">
        <f aca="false">Sens!$O$109</f>
        <v>0.098082643606304</v>
      </c>
      <c r="M36" s="39" t="n">
        <f aca="false">Sens!$O$110</f>
        <v>0.0834923333154132</v>
      </c>
    </row>
    <row r="37" customFormat="false" ht="15" hidden="false" customHeight="false" outlineLevel="0" collapsed="false">
      <c r="B37" s="38" t="n">
        <f aca="false">RentGrowth+Sens!$B$20</f>
        <v>0.02</v>
      </c>
      <c r="C37" s="39" t="n">
        <f aca="false">Sens!$O$84</f>
        <v>0.116871839723961</v>
      </c>
      <c r="D37" s="39" t="n">
        <f aca="false">Sens!$O$85</f>
        <v>0.107096987649448</v>
      </c>
      <c r="E37" s="39" t="n">
        <f aca="false">Sens!$O$86</f>
        <v>0.098245891392685</v>
      </c>
      <c r="F37" s="39" t="n">
        <f aca="false">Sens!$O$87</f>
        <v>0.0901785831181062</v>
      </c>
      <c r="G37" s="39" t="n">
        <f aca="false">Sens!$O$88</f>
        <v>0.0827837142069729</v>
      </c>
      <c r="H37" s="38" t="n">
        <f aca="false">RentGrowth+Sens!$B$20</f>
        <v>0.02</v>
      </c>
      <c r="I37" s="39" t="n">
        <f aca="false">Sens!$O$111</f>
        <v>0.15871641930616</v>
      </c>
      <c r="J37" s="39" t="n">
        <f aca="false">Sens!$O$112</f>
        <v>0.141960654117895</v>
      </c>
      <c r="K37" s="39" t="n">
        <f aca="false">Sens!$O$113</f>
        <v>0.126218059225292</v>
      </c>
      <c r="L37" s="39" t="n">
        <f aca="false">Sens!$O$114</f>
        <v>0.111318179303116</v>
      </c>
      <c r="M37" s="39" t="n">
        <f aca="false">Sens!$O$115</f>
        <v>0.0971228632392342</v>
      </c>
    </row>
    <row r="38" customFormat="false" ht="15" hidden="false" customHeight="false" outlineLevel="0" collapsed="false">
      <c r="B38" s="38" t="n">
        <f aca="false">RentGrowth+Sens!$B$34</f>
        <v>0.03</v>
      </c>
      <c r="C38" s="39" t="n">
        <f aca="false">Sens!$O$89</f>
        <v>0.124077647843947</v>
      </c>
      <c r="D38" s="39" t="n">
        <f aca="false">Sens!$O$90</f>
        <v>0.114221130294421</v>
      </c>
      <c r="E38" s="40" t="n">
        <f aca="false">Sens!$O$91</f>
        <v>0.105295407645052</v>
      </c>
      <c r="F38" s="39" t="n">
        <f aca="false">Sens!$O$92</f>
        <v>0.097159481713738</v>
      </c>
      <c r="G38" s="39" t="n">
        <f aca="false">Sens!$O$93</f>
        <v>0.0897011810957914</v>
      </c>
      <c r="H38" s="38" t="n">
        <f aca="false">RentGrowth+Sens!$B$34</f>
        <v>0.03</v>
      </c>
      <c r="I38" s="39" t="n">
        <f aca="false">Sens!$O$116</f>
        <v>0.170866950424374</v>
      </c>
      <c r="J38" s="39" t="n">
        <f aca="false">Sens!$O$117</f>
        <v>0.154384536719637</v>
      </c>
      <c r="K38" s="40" t="n">
        <f aca="false">Sens!$O$118</f>
        <v>0.138939006987421</v>
      </c>
      <c r="L38" s="39" t="n">
        <f aca="false">Sens!$O$119</f>
        <v>0.124360770045192</v>
      </c>
      <c r="M38" s="39" t="n">
        <f aca="false">Sens!$O$120</f>
        <v>0.11051297436063</v>
      </c>
    </row>
    <row r="39" customFormat="false" ht="15" hidden="false" customHeight="false" outlineLevel="0" collapsed="false">
      <c r="B39" s="38" t="n">
        <f aca="false">RentGrowth+Sens!$B$48</f>
        <v>0.04</v>
      </c>
      <c r="C39" s="39" t="n">
        <f aca="false">Sens!$O$94</f>
        <v>0.131396784979492</v>
      </c>
      <c r="D39" s="39" t="n">
        <f aca="false">Sens!$O$95</f>
        <v>0.121456872034781</v>
      </c>
      <c r="E39" s="39" t="n">
        <f aca="false">Sens!$O$96</f>
        <v>0.112454927288388</v>
      </c>
      <c r="F39" s="39" t="n">
        <f aca="false">Sens!$O$97</f>
        <v>0.104248903271512</v>
      </c>
      <c r="G39" s="39" t="n">
        <f aca="false">Sens!$O$98</f>
        <v>0.0967257906114167</v>
      </c>
      <c r="H39" s="38" t="n">
        <f aca="false">RentGrowth+Sens!$B$48</f>
        <v>0.04</v>
      </c>
      <c r="I39" s="39" t="n">
        <f aca="false">Sens!$O$121</f>
        <v>0.182944574756944</v>
      </c>
      <c r="J39" s="39" t="n">
        <f aca="false">Sens!$O$122</f>
        <v>0.166705007577036</v>
      </c>
      <c r="K39" s="39" t="n">
        <f aca="false">Sens!$O$123</f>
        <v>0.15152294275257</v>
      </c>
      <c r="L39" s="39" t="n">
        <f aca="false">Sens!$O$124</f>
        <v>0.137229173413983</v>
      </c>
      <c r="M39" s="39" t="n">
        <f aca="false">Sens!$O$125</f>
        <v>0.123687591833548</v>
      </c>
    </row>
    <row r="40" customFormat="false" ht="15" hidden="false" customHeight="false" outlineLevel="0" collapsed="false">
      <c r="B40" s="38" t="n">
        <f aca="false">RentGrowth+Sens!$B$62</f>
        <v>0.05</v>
      </c>
      <c r="C40" s="39" t="n">
        <f aca="false">Sens!$O$99</f>
        <v>0.138824953408794</v>
      </c>
      <c r="D40" s="39" t="n">
        <f aca="false">Sens!$O$100</f>
        <v>0.128799995733248</v>
      </c>
      <c r="E40" s="39" t="n">
        <f aca="false">Sens!$O$101</f>
        <v>0.119720307585753</v>
      </c>
      <c r="F40" s="39" t="n">
        <f aca="false">Sens!$O$102</f>
        <v>0.111442774114916</v>
      </c>
      <c r="G40" s="39" t="n">
        <f aca="false">Sens!$O$103</f>
        <v>0.103853533477782</v>
      </c>
      <c r="H40" s="38" t="n">
        <f aca="false">RentGrowth+Sens!$B$62</f>
        <v>0.05</v>
      </c>
      <c r="I40" s="39" t="n">
        <f aca="false">Sens!$O$126</f>
        <v>0.194954872954573</v>
      </c>
      <c r="J40" s="39" t="n">
        <f aca="false">Sens!$O$127</f>
        <v>0.178930615345942</v>
      </c>
      <c r="K40" s="39" t="n">
        <f aca="false">Sens!$O$128</f>
        <v>0.163981979815423</v>
      </c>
      <c r="L40" s="39" t="n">
        <f aca="false">Sens!$O$129</f>
        <v>0.149939784243684</v>
      </c>
      <c r="M40" s="39" t="n">
        <f aca="false">Sens!$O$130</f>
        <v>0.136668256222672</v>
      </c>
    </row>
    <row r="42" customFormat="false" ht="15" hidden="false" customHeight="false" outlineLevel="0" collapsed="false">
      <c r="B42" s="9" t="s">
        <v>43</v>
      </c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</row>
    <row r="43" customFormat="false" ht="15" hidden="false" customHeight="false" outlineLevel="0" collapsed="false">
      <c r="B43" s="17" t="s">
        <v>44</v>
      </c>
      <c r="C43" s="17"/>
      <c r="D43" s="18" t="str">
        <f aca="false">"Yr "&amp;CashFlow!D$4</f>
        <v>Yr 1</v>
      </c>
      <c r="E43" s="18" t="str">
        <f aca="false">"Yr "&amp;CashFlow!E$4</f>
        <v>Yr 2</v>
      </c>
      <c r="F43" s="18" t="str">
        <f aca="false">"Yr "&amp;CashFlow!F$4</f>
        <v>Yr 3</v>
      </c>
      <c r="G43" s="18" t="str">
        <f aca="false">"Yr "&amp;CashFlow!G$4</f>
        <v>Yr 4</v>
      </c>
      <c r="H43" s="18" t="str">
        <f aca="false">"Yr "&amp;CashFlow!H$4</f>
        <v>Yr 5</v>
      </c>
      <c r="I43" s="18" t="str">
        <f aca="false">"Yr "&amp;CashFlow!I$4</f>
        <v>Yr 6</v>
      </c>
      <c r="J43" s="18" t="str">
        <f aca="false">"Yr "&amp;CashFlow!J$4</f>
        <v>Yr 7</v>
      </c>
      <c r="K43" s="18" t="str">
        <f aca="false">"Yr "&amp;CashFlow!K$4</f>
        <v>Yr 8</v>
      </c>
      <c r="L43" s="18" t="str">
        <f aca="false">"Yr "&amp;CashFlow!L$4</f>
        <v>Yr 9</v>
      </c>
      <c r="M43" s="18" t="str">
        <f aca="false">"Yr "&amp;CashFlow!M$4</f>
        <v>Yr 10</v>
      </c>
    </row>
    <row r="44" customFormat="false" ht="15" hidden="false" customHeight="false" outlineLevel="0" collapsed="false">
      <c r="B44" s="19" t="s">
        <v>45</v>
      </c>
      <c r="C44" s="19"/>
      <c r="D44" s="23" t="n">
        <f aca="false">CashFlow!D21*CashFlow!D$5</f>
        <v>434815</v>
      </c>
      <c r="E44" s="23" t="n">
        <f aca="false">CashFlow!E21*CashFlow!E$5</f>
        <v>461069.2</v>
      </c>
      <c r="F44" s="23" t="n">
        <f aca="false">CashFlow!F21*CashFlow!F$5</f>
        <v>466435.294</v>
      </c>
      <c r="G44" s="23" t="n">
        <f aca="false">CashFlow!G21*CashFlow!G$5</f>
        <v>480428.35282</v>
      </c>
      <c r="H44" s="23" t="n">
        <f aca="false">CashFlow!H21*CashFlow!H$5</f>
        <v>494841.2034046</v>
      </c>
      <c r="I44" s="23" t="n">
        <f aca="false">CashFlow!I21*CashFlow!I$5</f>
        <v>483915.776835049</v>
      </c>
      <c r="J44" s="23" t="n">
        <f aca="false">CashFlow!J21*CashFlow!J$5</f>
        <v>498433.250140101</v>
      </c>
      <c r="K44" s="23" t="n">
        <f aca="false">CashFlow!K21*CashFlow!K$5</f>
        <v>0</v>
      </c>
      <c r="L44" s="23" t="n">
        <f aca="false">CashFlow!L21*CashFlow!L$5</f>
        <v>0</v>
      </c>
      <c r="M44" s="23" t="n">
        <f aca="false">CashFlow!M21*CashFlow!M$5</f>
        <v>0</v>
      </c>
    </row>
    <row r="45" customFormat="false" ht="15" hidden="false" customHeight="false" outlineLevel="0" collapsed="false">
      <c r="B45" s="19" t="s">
        <v>46</v>
      </c>
      <c r="C45" s="19"/>
      <c r="D45" s="23" t="n">
        <f aca="false">CashFlow!D40</f>
        <v>427815</v>
      </c>
      <c r="E45" s="23" t="n">
        <f aca="false">CashFlow!E40</f>
        <v>453859.2</v>
      </c>
      <c r="F45" s="23" t="n">
        <f aca="false">CashFlow!F40</f>
        <v>459008.994</v>
      </c>
      <c r="G45" s="23" t="n">
        <f aca="false">CashFlow!G40</f>
        <v>472779.26382</v>
      </c>
      <c r="H45" s="23" t="n">
        <f aca="false">CashFlow!H40</f>
        <v>486962.6417346</v>
      </c>
      <c r="I45" s="23" t="n">
        <f aca="false">CashFlow!I40</f>
        <v>475800.858314949</v>
      </c>
      <c r="J45" s="23" t="n">
        <f aca="false">CashFlow!J40</f>
        <v>490074.884064398</v>
      </c>
      <c r="K45" s="23" t="n">
        <f aca="false">CashFlow!K40</f>
        <v>0</v>
      </c>
      <c r="L45" s="23" t="n">
        <f aca="false">CashFlow!L40</f>
        <v>0</v>
      </c>
      <c r="M45" s="23" t="n">
        <f aca="false">CashFlow!M40</f>
        <v>0</v>
      </c>
    </row>
    <row r="46" customFormat="false" ht="15" hidden="false" customHeight="false" outlineLevel="0" collapsed="false">
      <c r="B46" s="19" t="s">
        <v>47</v>
      </c>
      <c r="C46" s="19"/>
      <c r="D46" s="23" t="n">
        <f aca="false">CashFlow!D41</f>
        <v>-112500</v>
      </c>
      <c r="E46" s="23" t="n">
        <f aca="false">CashFlow!E41</f>
        <v>-45000</v>
      </c>
      <c r="F46" s="23" t="n">
        <f aca="false">CashFlow!F41</f>
        <v>-0</v>
      </c>
      <c r="G46" s="23" t="n">
        <f aca="false">CashFlow!G41</f>
        <v>-0</v>
      </c>
      <c r="H46" s="23" t="n">
        <f aca="false">CashFlow!H41</f>
        <v>-0</v>
      </c>
      <c r="I46" s="23" t="n">
        <f aca="false">CashFlow!I41</f>
        <v>-0</v>
      </c>
      <c r="J46" s="23" t="n">
        <f aca="false">CashFlow!J41</f>
        <v>-0</v>
      </c>
      <c r="K46" s="23" t="n">
        <f aca="false">CashFlow!K41</f>
        <v>-0</v>
      </c>
      <c r="L46" s="23" t="n">
        <f aca="false">CashFlow!L41</f>
        <v>-0</v>
      </c>
      <c r="M46" s="23" t="n">
        <f aca="false">CashFlow!M41</f>
        <v>-0</v>
      </c>
    </row>
    <row r="47" customFormat="false" ht="15" hidden="false" customHeight="false" outlineLevel="0" collapsed="false">
      <c r="B47" s="19" t="s">
        <v>48</v>
      </c>
      <c r="C47" s="19"/>
      <c r="D47" s="23" t="n">
        <f aca="false">CashFlow!D53*CashFlow!D$5</f>
        <v>-204187.5</v>
      </c>
      <c r="E47" s="23" t="n">
        <f aca="false">CashFlow!E53*CashFlow!E$5</f>
        <v>-204187.5</v>
      </c>
      <c r="F47" s="23" t="n">
        <f aca="false">CashFlow!F53*CashFlow!F$5</f>
        <v>-250800.883652191</v>
      </c>
      <c r="G47" s="23" t="n">
        <f aca="false">CashFlow!G53*CashFlow!G$5</f>
        <v>-250800.883652191</v>
      </c>
      <c r="H47" s="23" t="n">
        <f aca="false">CashFlow!H53*CashFlow!H$5</f>
        <v>-250800.883652191</v>
      </c>
      <c r="I47" s="23" t="n">
        <f aca="false">CashFlow!I53*CashFlow!I$5</f>
        <v>-250800.883652191</v>
      </c>
      <c r="J47" s="23" t="n">
        <f aca="false">CashFlow!J53*CashFlow!J$5</f>
        <v>-250800.883652191</v>
      </c>
      <c r="K47" s="23" t="n">
        <f aca="false">CashFlow!K53*CashFlow!K$5</f>
        <v>-0</v>
      </c>
      <c r="L47" s="23" t="n">
        <f aca="false">CashFlow!L53*CashFlow!L$5</f>
        <v>-0</v>
      </c>
      <c r="M47" s="23" t="n">
        <f aca="false">CashFlow!M53*CashFlow!M$5</f>
        <v>-0</v>
      </c>
    </row>
    <row r="48" customFormat="false" ht="15" hidden="false" customHeight="false" outlineLevel="0" collapsed="false">
      <c r="B48" s="41" t="s">
        <v>49</v>
      </c>
      <c r="C48" s="41"/>
      <c r="D48" s="42" t="n">
        <f aca="false">SUM(D45:D47)</f>
        <v>111127.5</v>
      </c>
      <c r="E48" s="42" t="n">
        <f aca="false">SUM(E45:E47)</f>
        <v>204671.7</v>
      </c>
      <c r="F48" s="42" t="n">
        <f aca="false">SUM(F45:F47)</f>
        <v>208208.110347809</v>
      </c>
      <c r="G48" s="42" t="n">
        <f aca="false">SUM(G45:G47)</f>
        <v>221978.380167809</v>
      </c>
      <c r="H48" s="42" t="n">
        <f aca="false">SUM(H45:H47)</f>
        <v>236161.758082409</v>
      </c>
      <c r="I48" s="42" t="n">
        <f aca="false">SUM(I45:I47)</f>
        <v>224999.974662758</v>
      </c>
      <c r="J48" s="42" t="n">
        <f aca="false">SUM(J45:J47)</f>
        <v>239274.000412207</v>
      </c>
      <c r="K48" s="42" t="n">
        <f aca="false">SUM(K45:K47)</f>
        <v>0</v>
      </c>
      <c r="L48" s="42" t="n">
        <f aca="false">SUM(L45:L47)</f>
        <v>0</v>
      </c>
      <c r="M48" s="42" t="n">
        <f aca="false">SUM(M45:M47)</f>
        <v>0</v>
      </c>
    </row>
    <row r="49" customFormat="false" ht="15" hidden="false" customHeight="false" outlineLevel="0" collapsed="false">
      <c r="B49" s="19" t="s">
        <v>50</v>
      </c>
      <c r="C49" s="19"/>
      <c r="D49" s="23" t="n">
        <f aca="false">CashFlow!D45+CashFlow!D55</f>
        <v>0</v>
      </c>
      <c r="E49" s="23" t="n">
        <f aca="false">CashFlow!E45+CashFlow!E55</f>
        <v>0</v>
      </c>
      <c r="F49" s="23" t="n">
        <f aca="false">CashFlow!F45+CashFlow!F55</f>
        <v>0</v>
      </c>
      <c r="G49" s="23" t="n">
        <f aca="false">CashFlow!G45+CashFlow!G55</f>
        <v>0</v>
      </c>
      <c r="H49" s="23" t="n">
        <f aca="false">CashFlow!H45+CashFlow!H55</f>
        <v>0</v>
      </c>
      <c r="I49" s="23" t="n">
        <f aca="false">CashFlow!I45+CashFlow!I55</f>
        <v>0</v>
      </c>
      <c r="J49" s="23" t="n">
        <f aca="false">CashFlow!J45+CashFlow!J55</f>
        <v>4318186.65371243</v>
      </c>
      <c r="K49" s="23" t="n">
        <f aca="false">CashFlow!K45+CashFlow!K55</f>
        <v>0</v>
      </c>
      <c r="L49" s="23" t="n">
        <f aca="false">CashFlow!L45+CashFlow!L55</f>
        <v>0</v>
      </c>
      <c r="M49" s="23" t="n">
        <f aca="false">CashFlow!M45+CashFlow!M55</f>
        <v>0</v>
      </c>
    </row>
    <row r="50" customFormat="false" ht="15" hidden="false" customHeight="false" outlineLevel="0" collapsed="false">
      <c r="B50" s="41" t="s">
        <v>51</v>
      </c>
      <c r="C50" s="41"/>
      <c r="D50" s="42" t="n">
        <f aca="false">CashFlow!D56</f>
        <v>111127.5</v>
      </c>
      <c r="E50" s="42" t="n">
        <f aca="false">CashFlow!E56</f>
        <v>204671.7</v>
      </c>
      <c r="F50" s="42" t="n">
        <f aca="false">CashFlow!F56</f>
        <v>208208.110347809</v>
      </c>
      <c r="G50" s="42" t="n">
        <f aca="false">CashFlow!G56</f>
        <v>221978.380167809</v>
      </c>
      <c r="H50" s="42" t="n">
        <f aca="false">CashFlow!H56</f>
        <v>236161.758082409</v>
      </c>
      <c r="I50" s="42" t="n">
        <f aca="false">CashFlow!I56</f>
        <v>224999.974662758</v>
      </c>
      <c r="J50" s="42" t="n">
        <f aca="false">CashFlow!J56</f>
        <v>4557460.65412464</v>
      </c>
      <c r="K50" s="42" t="n">
        <f aca="false">CashFlow!K56</f>
        <v>0</v>
      </c>
      <c r="L50" s="42" t="n">
        <f aca="false">CashFlow!L56</f>
        <v>0</v>
      </c>
      <c r="M50" s="42" t="n">
        <f aca="false">CashFlow!M56</f>
        <v>0</v>
      </c>
    </row>
  </sheetData>
  <mergeCells count="81">
    <mergeCell ref="B2:M2"/>
    <mergeCell ref="B3:M3"/>
    <mergeCell ref="B4:C4"/>
    <mergeCell ref="D4:E4"/>
    <mergeCell ref="F4:G4"/>
    <mergeCell ref="I4:J4"/>
    <mergeCell ref="B6:M6"/>
    <mergeCell ref="B7:D7"/>
    <mergeCell ref="E7:G7"/>
    <mergeCell ref="H7:J7"/>
    <mergeCell ref="K7:M7"/>
    <mergeCell ref="B8:D8"/>
    <mergeCell ref="E8:G8"/>
    <mergeCell ref="H8:J8"/>
    <mergeCell ref="K8:M8"/>
    <mergeCell ref="B9:D9"/>
    <mergeCell ref="E9:G9"/>
    <mergeCell ref="H9:J9"/>
    <mergeCell ref="K9:M9"/>
    <mergeCell ref="B11:D11"/>
    <mergeCell ref="E11:G11"/>
    <mergeCell ref="H11:J11"/>
    <mergeCell ref="K11:M11"/>
    <mergeCell ref="B12:D12"/>
    <mergeCell ref="E12:G12"/>
    <mergeCell ref="H12:J12"/>
    <mergeCell ref="K12:M12"/>
    <mergeCell ref="B13:D13"/>
    <mergeCell ref="E13:G13"/>
    <mergeCell ref="H13:J13"/>
    <mergeCell ref="K13:M13"/>
    <mergeCell ref="B15:D15"/>
    <mergeCell ref="E15:G15"/>
    <mergeCell ref="H15:J15"/>
    <mergeCell ref="K15:M15"/>
    <mergeCell ref="B16:D16"/>
    <mergeCell ref="E16:G16"/>
    <mergeCell ref="H16:J16"/>
    <mergeCell ref="K16:M16"/>
    <mergeCell ref="B17:D17"/>
    <mergeCell ref="E17:G17"/>
    <mergeCell ref="H17:J17"/>
    <mergeCell ref="K17:M17"/>
    <mergeCell ref="B19:G19"/>
    <mergeCell ref="H19:M19"/>
    <mergeCell ref="B20:D20"/>
    <mergeCell ref="H20:J20"/>
    <mergeCell ref="B21:D21"/>
    <mergeCell ref="H21:J21"/>
    <mergeCell ref="B22:D22"/>
    <mergeCell ref="H22:J22"/>
    <mergeCell ref="B23:D23"/>
    <mergeCell ref="H23:J23"/>
    <mergeCell ref="B24:D24"/>
    <mergeCell ref="H24:J24"/>
    <mergeCell ref="B25:D25"/>
    <mergeCell ref="H25:J25"/>
    <mergeCell ref="B26:D26"/>
    <mergeCell ref="H26:J26"/>
    <mergeCell ref="B27:D27"/>
    <mergeCell ref="H27:J27"/>
    <mergeCell ref="B28:D28"/>
    <mergeCell ref="H28:J28"/>
    <mergeCell ref="B29:D29"/>
    <mergeCell ref="H29:J29"/>
    <mergeCell ref="B30:D30"/>
    <mergeCell ref="H30:J30"/>
    <mergeCell ref="B31:G31"/>
    <mergeCell ref="H31:J31"/>
    <mergeCell ref="B33:M33"/>
    <mergeCell ref="B34:G34"/>
    <mergeCell ref="H34:M34"/>
    <mergeCell ref="B42:M42"/>
    <mergeCell ref="B43:C43"/>
    <mergeCell ref="B44:C44"/>
    <mergeCell ref="B45:C45"/>
    <mergeCell ref="B46:C46"/>
    <mergeCell ref="B47:C47"/>
    <mergeCell ref="B48:C48"/>
    <mergeCell ref="B49:C49"/>
    <mergeCell ref="B50:C50"/>
  </mergeCells>
  <conditionalFormatting sqref="G21:G30">
    <cfRule type="cellIs" priority="2" operator="equal" aboveAverage="0" equalAverage="0" bottom="0" percent="0" rank="0" text="" dxfId="0">
      <formula>"PASS"</formula>
    </cfRule>
    <cfRule type="cellIs" priority="3" operator="equal" aboveAverage="0" equalAverage="0" bottom="0" percent="0" rank="0" text="" dxfId="1">
      <formula>"WATCH"</formula>
    </cfRule>
    <cfRule type="cellIs" priority="4" operator="equal" aboveAverage="0" equalAverage="0" bottom="0" percent="0" rank="0" text="" dxfId="2">
      <formula>"FLAG"</formula>
    </cfRule>
    <cfRule type="cellIs" priority="5" operator="equal" aboveAverage="0" equalAverage="0" bottom="0" percent="0" rank="0" text="" dxfId="3">
      <formula>"N/A"</formula>
    </cfRule>
  </conditionalFormatting>
  <conditionalFormatting sqref="C36:G40">
    <cfRule type="colorScale" priority="6">
      <colorScale>
        <cfvo type="min" val="0"/>
        <cfvo type="max" val="0"/>
        <color rgb="FFEAF1F8"/>
        <color rgb="FF6FAEDD"/>
      </colorScale>
    </cfRule>
  </conditionalFormatting>
  <conditionalFormatting sqref="I36:M40">
    <cfRule type="colorScale" priority="7">
      <colorScale>
        <cfvo type="min" val="0"/>
        <cfvo type="max" val="0"/>
        <color rgb="FFEAF1F8"/>
        <color rgb="FF6FAEDD"/>
      </colorScale>
    </cfRule>
  </conditionalFormatting>
  <dataValidations count="1">
    <dataValidation allowBlank="false" errorStyle="stop" operator="between" showDropDown="false" showErrorMessage="false" showInputMessage="false" sqref="D4" type="list">
      <formula1>"Base,Upside,Downside"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E5AA7"/>
    <pageSetUpPr fitToPage="false"/>
  </sheetPr>
  <dimension ref="A1:F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5" min="2" style="0" width="16"/>
    <col collapsed="false" customWidth="true" hidden="false" outlineLevel="0" max="6" min="6" style="0" width="88"/>
  </cols>
  <sheetData>
    <row r="1" customFormat="false" ht="19.7" hidden="false" customHeight="false" outlineLevel="0" collapsed="false">
      <c r="A1" s="43" t="s">
        <v>52</v>
      </c>
      <c r="B1" s="44"/>
      <c r="C1" s="44"/>
      <c r="D1" s="44"/>
      <c r="E1" s="44"/>
      <c r="F1" s="44"/>
    </row>
    <row r="2" customFormat="false" ht="15" hidden="false" customHeight="false" outlineLevel="0" collapsed="false">
      <c r="A2" s="45" t="s">
        <v>53</v>
      </c>
    </row>
    <row r="4" customFormat="false" ht="15" hidden="false" customHeight="false" outlineLevel="0" collapsed="false">
      <c r="A4" s="46" t="s">
        <v>54</v>
      </c>
      <c r="B4" s="47" t="s">
        <v>3</v>
      </c>
      <c r="C4" s="47" t="s">
        <v>55</v>
      </c>
      <c r="D4" s="47" t="s">
        <v>56</v>
      </c>
      <c r="E4" s="47" t="s">
        <v>57</v>
      </c>
      <c r="F4" s="46" t="s">
        <v>58</v>
      </c>
    </row>
    <row r="5" customFormat="false" ht="15" hidden="false" customHeight="false" outlineLevel="0" collapsed="false">
      <c r="A5" s="48" t="s">
        <v>59</v>
      </c>
      <c r="B5" s="49" t="n">
        <v>0.03</v>
      </c>
      <c r="C5" s="49" t="n">
        <v>0.04</v>
      </c>
      <c r="D5" s="49" t="n">
        <v>0.015</v>
      </c>
      <c r="E5" s="50" t="n">
        <f aca="false">INDEX($B5:$D5,ScenIdx)</f>
        <v>0.03</v>
      </c>
      <c r="F5" s="45" t="s">
        <v>60</v>
      </c>
    </row>
    <row r="6" customFormat="false" ht="15" hidden="false" customHeight="false" outlineLevel="0" collapsed="false">
      <c r="A6" s="48" t="s">
        <v>61</v>
      </c>
      <c r="B6" s="49" t="n">
        <v>0.05</v>
      </c>
      <c r="C6" s="49" t="n">
        <v>0.03</v>
      </c>
      <c r="D6" s="49" t="n">
        <v>0.1</v>
      </c>
      <c r="E6" s="50" t="n">
        <f aca="false">INDEX($B6:$D6,ScenIdx)</f>
        <v>0.05</v>
      </c>
      <c r="F6" s="45" t="s">
        <v>62</v>
      </c>
    </row>
    <row r="7" customFormat="false" ht="15" hidden="false" customHeight="false" outlineLevel="0" collapsed="false">
      <c r="A7" s="48" t="s">
        <v>63</v>
      </c>
      <c r="B7" s="51" t="n">
        <v>0.07</v>
      </c>
      <c r="C7" s="51" t="n">
        <v>0.065</v>
      </c>
      <c r="D7" s="51" t="n">
        <v>0.0775</v>
      </c>
      <c r="E7" s="52" t="n">
        <f aca="false">INDEX($B7:$D7,ScenIdx)</f>
        <v>0.07</v>
      </c>
      <c r="F7" s="45" t="s">
        <v>64</v>
      </c>
    </row>
    <row r="8" customFormat="false" ht="15" hidden="false" customHeight="false" outlineLevel="0" collapsed="false">
      <c r="A8" s="48" t="s">
        <v>65</v>
      </c>
      <c r="B8" s="49" t="n">
        <v>0</v>
      </c>
      <c r="C8" s="49" t="n">
        <v>0</v>
      </c>
      <c r="D8" s="49" t="n">
        <v>0.15</v>
      </c>
      <c r="E8" s="50" t="n">
        <f aca="false">INDEX($B8:$D8,ScenIdx)</f>
        <v>0</v>
      </c>
      <c r="F8" s="45" t="s">
        <v>66</v>
      </c>
    </row>
    <row r="9" customFormat="false" ht="15" hidden="false" customHeight="false" outlineLevel="0" collapsed="false">
      <c r="A9" s="48" t="s">
        <v>67</v>
      </c>
      <c r="B9" s="53" t="n">
        <v>0</v>
      </c>
      <c r="C9" s="53" t="n">
        <v>0</v>
      </c>
      <c r="D9" s="53" t="n">
        <v>6</v>
      </c>
      <c r="E9" s="54" t="n">
        <f aca="false">INDEX($B9:$D9,ScenIdx)</f>
        <v>0</v>
      </c>
      <c r="F9" s="45" t="s">
        <v>68</v>
      </c>
    </row>
    <row r="11" customFormat="false" ht="15" hidden="false" customHeight="false" outlineLevel="0" collapsed="false">
      <c r="A11" s="48" t="s">
        <v>69</v>
      </c>
      <c r="B11" s="55" t="str">
        <f aca="false">Dashboard!$D$4</f>
        <v>Base</v>
      </c>
    </row>
    <row r="12" customFormat="false" ht="15" hidden="false" customHeight="false" outlineLevel="0" collapsed="false">
      <c r="A12" s="48" t="s">
        <v>70</v>
      </c>
      <c r="B12" s="56" t="n">
        <f aca="false">MATCH(B11,$B$4:$D$4,0)</f>
        <v>1</v>
      </c>
    </row>
    <row r="14" customFormat="false" ht="15" hidden="false" customHeight="false" outlineLevel="0" collapsed="false">
      <c r="A14" s="57" t="s">
        <v>71</v>
      </c>
      <c r="B14" s="57"/>
      <c r="C14" s="57"/>
      <c r="D14" s="57"/>
      <c r="E14" s="57"/>
      <c r="F14" s="57"/>
    </row>
    <row r="15" customFormat="false" ht="15" hidden="false" customHeight="false" outlineLevel="0" collapsed="false">
      <c r="A15" s="48" t="s">
        <v>72</v>
      </c>
      <c r="B15" s="58" t="s">
        <v>73</v>
      </c>
      <c r="F15" s="45" t="s">
        <v>74</v>
      </c>
    </row>
    <row r="16" customFormat="false" ht="15" hidden="false" customHeight="false" outlineLevel="0" collapsed="false">
      <c r="A16" s="48" t="s">
        <v>75</v>
      </c>
      <c r="B16" s="59" t="n">
        <v>37</v>
      </c>
      <c r="F16" s="45" t="s">
        <v>76</v>
      </c>
    </row>
    <row r="17" customFormat="false" ht="15" hidden="false" customHeight="false" outlineLevel="0" collapsed="false">
      <c r="A17" s="48" t="s">
        <v>77</v>
      </c>
      <c r="B17" s="60" t="n">
        <v>5500000</v>
      </c>
      <c r="F17" s="45" t="s">
        <v>78</v>
      </c>
    </row>
    <row r="18" customFormat="false" ht="15" hidden="false" customHeight="false" outlineLevel="0" collapsed="false">
      <c r="A18" s="48" t="s">
        <v>79</v>
      </c>
      <c r="B18" s="61" t="n">
        <f aca="false">PurchPrice/Acres</f>
        <v>148648.648648649</v>
      </c>
      <c r="F18" s="45" t="s">
        <v>80</v>
      </c>
    </row>
    <row r="19" customFormat="false" ht="15" hidden="false" customHeight="false" outlineLevel="0" collapsed="false">
      <c r="A19" s="48" t="s">
        <v>81</v>
      </c>
      <c r="B19" s="60" t="n">
        <v>150000</v>
      </c>
      <c r="F19" s="45" t="s">
        <v>82</v>
      </c>
    </row>
    <row r="20" customFormat="false" ht="15" hidden="false" customHeight="false" outlineLevel="0" collapsed="false">
      <c r="A20" s="48" t="s">
        <v>83</v>
      </c>
      <c r="B20" s="61" t="n">
        <f aca="false">CompPerAcre*Acres</f>
        <v>5550000</v>
      </c>
      <c r="F20" s="45" t="s">
        <v>84</v>
      </c>
    </row>
    <row r="21" customFormat="false" ht="15" hidden="false" customHeight="false" outlineLevel="0" collapsed="false">
      <c r="A21" s="48" t="s">
        <v>85</v>
      </c>
      <c r="B21" s="49" t="n">
        <v>0.015</v>
      </c>
      <c r="F21" s="45" t="s">
        <v>86</v>
      </c>
    </row>
    <row r="22" customFormat="false" ht="15" hidden="false" customHeight="false" outlineLevel="0" collapsed="false">
      <c r="A22" s="48" t="s">
        <v>87</v>
      </c>
      <c r="B22" s="49" t="n">
        <v>0.02</v>
      </c>
      <c r="F22" s="45" t="s">
        <v>86</v>
      </c>
    </row>
    <row r="23" customFormat="false" ht="15" hidden="false" customHeight="false" outlineLevel="0" collapsed="false">
      <c r="A23" s="48" t="s">
        <v>88</v>
      </c>
      <c r="B23" s="62" t="n">
        <v>7</v>
      </c>
      <c r="F23" s="45" t="s">
        <v>89</v>
      </c>
    </row>
    <row r="24" customFormat="false" ht="15" hidden="false" customHeight="false" outlineLevel="0" collapsed="false">
      <c r="A24" s="48" t="s">
        <v>90</v>
      </c>
      <c r="B24" s="49" t="n">
        <v>0.1</v>
      </c>
      <c r="F24" s="45" t="s">
        <v>91</v>
      </c>
    </row>
    <row r="25" customFormat="false" ht="15" hidden="false" customHeight="false" outlineLevel="0" collapsed="false">
      <c r="A25" s="48" t="s">
        <v>92</v>
      </c>
      <c r="B25" s="49" t="n">
        <v>0.15</v>
      </c>
      <c r="F25" s="45" t="s">
        <v>91</v>
      </c>
    </row>
    <row r="26" customFormat="false" ht="15" hidden="false" customHeight="false" outlineLevel="0" collapsed="false">
      <c r="A26" s="48" t="s">
        <v>93</v>
      </c>
      <c r="B26" s="63" t="n">
        <v>1.25</v>
      </c>
      <c r="F26" s="45" t="s">
        <v>94</v>
      </c>
    </row>
    <row r="27" customFormat="false" ht="15" hidden="false" customHeight="false" outlineLevel="0" collapsed="false">
      <c r="A27" s="48" t="s">
        <v>95</v>
      </c>
      <c r="B27" s="64" t="n">
        <v>0.01</v>
      </c>
      <c r="F27" s="45" t="s">
        <v>96</v>
      </c>
    </row>
    <row r="28" customFormat="false" ht="15" hidden="false" customHeight="false" outlineLevel="0" collapsed="false">
      <c r="A28" s="48" t="s">
        <v>97</v>
      </c>
      <c r="B28" s="65" t="n">
        <v>0.005</v>
      </c>
      <c r="F28" s="45" t="s">
        <v>98</v>
      </c>
    </row>
    <row r="30" customFormat="false" ht="15" hidden="false" customHeight="false" outlineLevel="0" collapsed="false">
      <c r="A30" s="57" t="s">
        <v>99</v>
      </c>
      <c r="B30" s="57"/>
      <c r="C30" s="57"/>
      <c r="D30" s="57"/>
      <c r="E30" s="57"/>
      <c r="F30" s="57"/>
    </row>
    <row r="31" customFormat="false" ht="15" hidden="false" customHeight="false" outlineLevel="0" collapsed="false">
      <c r="A31" s="48" t="s">
        <v>100</v>
      </c>
      <c r="B31" s="60" t="n">
        <v>5000</v>
      </c>
      <c r="F31" s="45" t="s">
        <v>101</v>
      </c>
    </row>
    <row r="32" customFormat="false" ht="15" hidden="false" customHeight="false" outlineLevel="0" collapsed="false">
      <c r="A32" s="48" t="s">
        <v>102</v>
      </c>
      <c r="B32" s="60" t="n">
        <v>2000</v>
      </c>
      <c r="F32" s="45" t="s">
        <v>103</v>
      </c>
    </row>
    <row r="33" customFormat="false" ht="15" hidden="false" customHeight="false" outlineLevel="0" collapsed="false">
      <c r="A33" s="48" t="s">
        <v>104</v>
      </c>
      <c r="B33" s="62" t="n">
        <v>0</v>
      </c>
      <c r="F33" s="45" t="s">
        <v>105</v>
      </c>
    </row>
    <row r="34" customFormat="false" ht="15" hidden="false" customHeight="false" outlineLevel="0" collapsed="false">
      <c r="A34" s="48" t="s">
        <v>106</v>
      </c>
      <c r="B34" s="51" t="n">
        <v>0.022</v>
      </c>
      <c r="F34" s="45" t="s">
        <v>107</v>
      </c>
    </row>
    <row r="35" customFormat="false" ht="15" hidden="false" customHeight="false" outlineLevel="0" collapsed="false">
      <c r="A35" s="48" t="s">
        <v>108</v>
      </c>
      <c r="B35" s="64" t="n">
        <v>0</v>
      </c>
      <c r="F35" s="45" t="s">
        <v>109</v>
      </c>
    </row>
    <row r="36" customFormat="false" ht="15" hidden="false" customHeight="false" outlineLevel="0" collapsed="false">
      <c r="A36" s="48" t="s">
        <v>110</v>
      </c>
      <c r="B36" s="66" t="n">
        <v>0</v>
      </c>
      <c r="F36" s="45" t="s">
        <v>111</v>
      </c>
    </row>
    <row r="37" customFormat="false" ht="15" hidden="false" customHeight="false" outlineLevel="0" collapsed="false">
      <c r="A37" s="48" t="s">
        <v>112</v>
      </c>
      <c r="B37" s="66" t="n">
        <v>0</v>
      </c>
      <c r="F37" s="45" t="s">
        <v>113</v>
      </c>
    </row>
    <row r="38" customFormat="false" ht="15" hidden="false" customHeight="false" outlineLevel="0" collapsed="false">
      <c r="A38" s="48" t="s">
        <v>114</v>
      </c>
      <c r="B38" s="49" t="n">
        <v>0.03</v>
      </c>
      <c r="F38" s="45" t="s">
        <v>86</v>
      </c>
    </row>
    <row r="40" customFormat="false" ht="15" hidden="false" customHeight="false" outlineLevel="0" collapsed="false">
      <c r="A40" s="57" t="s">
        <v>115</v>
      </c>
      <c r="B40" s="57"/>
      <c r="C40" s="57"/>
      <c r="D40" s="57"/>
      <c r="E40" s="57"/>
      <c r="F40" s="57"/>
    </row>
    <row r="41" customFormat="false" ht="15" hidden="false" customHeight="false" outlineLevel="0" collapsed="false">
      <c r="A41" s="48" t="s">
        <v>116</v>
      </c>
      <c r="B41" s="62" t="n">
        <v>1</v>
      </c>
      <c r="F41" s="45" t="s">
        <v>117</v>
      </c>
    </row>
    <row r="42" customFormat="false" ht="15" hidden="false" customHeight="false" outlineLevel="0" collapsed="false">
      <c r="A42" s="48" t="s">
        <v>118</v>
      </c>
      <c r="B42" s="49" t="n">
        <v>0.55</v>
      </c>
      <c r="F42" s="45" t="s">
        <v>119</v>
      </c>
    </row>
    <row r="43" customFormat="false" ht="15" hidden="false" customHeight="false" outlineLevel="0" collapsed="false">
      <c r="A43" s="48" t="s">
        <v>120</v>
      </c>
      <c r="B43" s="51" t="n">
        <v>0.0675</v>
      </c>
      <c r="F43" s="45" t="s">
        <v>121</v>
      </c>
    </row>
    <row r="44" customFormat="false" ht="15" hidden="false" customHeight="false" outlineLevel="0" collapsed="false">
      <c r="A44" s="48" t="s">
        <v>122</v>
      </c>
      <c r="B44" s="53" t="n">
        <v>25</v>
      </c>
      <c r="F44" s="45" t="s">
        <v>123</v>
      </c>
    </row>
    <row r="45" customFormat="false" ht="15" hidden="false" customHeight="false" outlineLevel="0" collapsed="false">
      <c r="A45" s="48" t="s">
        <v>124</v>
      </c>
      <c r="B45" s="53" t="n">
        <v>2</v>
      </c>
      <c r="F45" s="45" t="s">
        <v>123</v>
      </c>
    </row>
    <row r="46" customFormat="false" ht="15" hidden="false" customHeight="false" outlineLevel="0" collapsed="false">
      <c r="A46" s="48" t="s">
        <v>125</v>
      </c>
      <c r="B46" s="49" t="n">
        <v>0.01</v>
      </c>
      <c r="F46" s="45" t="s">
        <v>123</v>
      </c>
    </row>
  </sheetData>
  <dataValidations count="2">
    <dataValidation allowBlank="false" errorStyle="stop" operator="between" showDropDown="false" showErrorMessage="false" showInputMessage="false" sqref="B33 B41" type="list">
      <formula1>"0,1"</formula1>
      <formula2>0</formula2>
    </dataValidation>
    <dataValidation allowBlank="false" error="Hold period must be a whole number from 1 to 10." errorStyle="stop" operator="between" showDropDown="false" showErrorMessage="false" showInputMessage="false" sqref="B23" type="whole">
      <formula1>1</formula1>
      <formula2>10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E5AA7"/>
    <pageSetUpPr fitToPage="false"/>
  </sheetPr>
  <dimension ref="A1:S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4"/>
    <col collapsed="false" customWidth="true" hidden="false" outlineLevel="0" max="3" min="3" style="0" width="11"/>
    <col collapsed="false" customWidth="true" hidden="false" outlineLevel="0" max="4" min="4" style="0" width="52"/>
    <col collapsed="false" customWidth="true" hidden="false" outlineLevel="0" max="5" min="5" style="0" width="8"/>
    <col collapsed="false" customWidth="true" hidden="false" outlineLevel="0" max="6" min="6" style="0" width="11"/>
    <col collapsed="false" customWidth="true" hidden="false" outlineLevel="0" max="7" min="7" style="0" width="10"/>
    <col collapsed="false" customWidth="true" hidden="false" outlineLevel="0" max="8" min="8" style="0" width="13"/>
    <col collapsed="false" customWidth="true" hidden="false" outlineLevel="0" max="9" min="9" style="0" width="9"/>
    <col collapsed="false" customWidth="true" hidden="false" outlineLevel="0" max="11" min="10" style="0" width="8"/>
    <col collapsed="false" customWidth="true" hidden="false" outlineLevel="0" max="12" min="12" style="0" width="10"/>
    <col collapsed="false" customWidth="true" hidden="false" outlineLevel="0" max="14" min="13" style="0" width="9"/>
    <col collapsed="false" customWidth="true" hidden="false" outlineLevel="0" max="17" min="15" style="0" width="10"/>
    <col collapsed="false" customWidth="true" hidden="false" outlineLevel="0" max="18" min="18" style="0" width="9"/>
    <col collapsed="false" customWidth="true" hidden="false" outlineLevel="0" max="19" min="19" style="0" width="60"/>
  </cols>
  <sheetData>
    <row r="1" customFormat="false" ht="19.7" hidden="false" customHeight="false" outlineLevel="0" collapsed="false">
      <c r="A1" s="43" t="s">
        <v>126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</row>
    <row r="2" customFormat="false" ht="15" hidden="false" customHeight="false" outlineLevel="0" collapsed="false">
      <c r="A2" s="45" t="s">
        <v>127</v>
      </c>
    </row>
    <row r="3" customFormat="false" ht="15" hidden="false" customHeight="false" outlineLevel="0" collapsed="false">
      <c r="A3" s="45" t="s">
        <v>128</v>
      </c>
    </row>
    <row r="5" customFormat="false" ht="31.5" hidden="false" customHeight="true" outlineLevel="0" collapsed="false">
      <c r="A5" s="67" t="s">
        <v>129</v>
      </c>
      <c r="B5" s="67" t="s">
        <v>26</v>
      </c>
      <c r="C5" s="67" t="s">
        <v>25</v>
      </c>
      <c r="D5" s="67" t="s">
        <v>130</v>
      </c>
      <c r="E5" s="67" t="s">
        <v>131</v>
      </c>
      <c r="F5" s="67" t="s">
        <v>132</v>
      </c>
      <c r="G5" s="67" t="s">
        <v>133</v>
      </c>
      <c r="H5" s="67" t="s">
        <v>134</v>
      </c>
      <c r="I5" s="67" t="s">
        <v>135</v>
      </c>
      <c r="J5" s="67" t="s">
        <v>136</v>
      </c>
      <c r="K5" s="67" t="s">
        <v>137</v>
      </c>
      <c r="L5" s="67" t="s">
        <v>138</v>
      </c>
      <c r="M5" s="67" t="s">
        <v>139</v>
      </c>
      <c r="N5" s="67" t="s">
        <v>140</v>
      </c>
      <c r="O5" s="67" t="s">
        <v>141</v>
      </c>
      <c r="P5" s="67" t="s">
        <v>142</v>
      </c>
      <c r="Q5" s="67" t="s">
        <v>143</v>
      </c>
      <c r="R5" s="67" t="s">
        <v>144</v>
      </c>
      <c r="S5" s="67" t="s">
        <v>145</v>
      </c>
    </row>
    <row r="6" customFormat="false" ht="30" hidden="false" customHeight="true" outlineLevel="0" collapsed="false">
      <c r="A6" s="56" t="n">
        <v>1</v>
      </c>
      <c r="B6" s="68" t="s">
        <v>146</v>
      </c>
      <c r="C6" s="58" t="s">
        <v>147</v>
      </c>
      <c r="D6" s="69" t="s">
        <v>148</v>
      </c>
      <c r="E6" s="59"/>
      <c r="F6" s="70" t="n">
        <v>13000</v>
      </c>
      <c r="G6" s="58" t="s">
        <v>149</v>
      </c>
      <c r="H6" s="71" t="n">
        <f aca="false">IF(G6="Annual",F6,F6*12)</f>
        <v>156000</v>
      </c>
      <c r="I6" s="49" t="n">
        <v>0.03</v>
      </c>
      <c r="J6" s="62" t="n">
        <v>0</v>
      </c>
      <c r="K6" s="62" t="n">
        <v>60</v>
      </c>
      <c r="L6" s="72" t="n">
        <v>0.85</v>
      </c>
      <c r="M6" s="73" t="n">
        <v>1</v>
      </c>
      <c r="N6" s="73" t="n">
        <v>1</v>
      </c>
      <c r="O6" s="73" t="n">
        <v>1</v>
      </c>
      <c r="P6" s="74" t="n">
        <f aca="false">INDEX(M6:O6,ScenIdx)</f>
        <v>1</v>
      </c>
      <c r="Q6" s="75" t="n">
        <f aca="false">IF(I6="",RentGrowth,I6)</f>
        <v>0.03</v>
      </c>
      <c r="R6" s="76" t="n">
        <f aca="false">J6+IF(C6="Pipeline",LeaseDelay,0)</f>
        <v>0</v>
      </c>
      <c r="S6" s="77" t="s">
        <v>150</v>
      </c>
    </row>
    <row r="7" customFormat="false" ht="30" hidden="false" customHeight="true" outlineLevel="0" collapsed="false">
      <c r="A7" s="56" t="n">
        <v>2</v>
      </c>
      <c r="B7" s="68" t="s">
        <v>151</v>
      </c>
      <c r="C7" s="58" t="s">
        <v>147</v>
      </c>
      <c r="D7" s="69" t="s">
        <v>152</v>
      </c>
      <c r="E7" s="59" t="n">
        <v>1.56</v>
      </c>
      <c r="F7" s="70" t="n">
        <v>7000</v>
      </c>
      <c r="G7" s="58" t="s">
        <v>149</v>
      </c>
      <c r="H7" s="71" t="n">
        <f aca="false">IF(G7="Annual",F7,F7*12)</f>
        <v>84000</v>
      </c>
      <c r="I7" s="64"/>
      <c r="J7" s="62" t="n">
        <v>0</v>
      </c>
      <c r="K7" s="53" t="n">
        <v>24</v>
      </c>
      <c r="L7" s="72" t="n">
        <v>0.9</v>
      </c>
      <c r="M7" s="73" t="n">
        <v>1</v>
      </c>
      <c r="N7" s="73" t="n">
        <v>1</v>
      </c>
      <c r="O7" s="73" t="n">
        <v>0</v>
      </c>
      <c r="P7" s="74" t="n">
        <f aca="false">INDEX(M7:O7,ScenIdx)</f>
        <v>1</v>
      </c>
      <c r="Q7" s="75" t="n">
        <f aca="false">IF(I7="",RentGrowth,I7)</f>
        <v>0.03</v>
      </c>
      <c r="R7" s="76" t="n">
        <f aca="false">J7+IF(C7="Pipeline",LeaseDelay,0)</f>
        <v>0</v>
      </c>
      <c r="S7" s="77" t="s">
        <v>153</v>
      </c>
    </row>
    <row r="8" customFormat="false" ht="30" hidden="false" customHeight="true" outlineLevel="0" collapsed="false">
      <c r="A8" s="56" t="n">
        <v>3</v>
      </c>
      <c r="B8" s="68" t="s">
        <v>154</v>
      </c>
      <c r="C8" s="58" t="s">
        <v>147</v>
      </c>
      <c r="D8" s="69" t="s">
        <v>155</v>
      </c>
      <c r="E8" s="59" t="n">
        <v>1</v>
      </c>
      <c r="F8" s="70" t="n">
        <v>6500</v>
      </c>
      <c r="G8" s="58" t="s">
        <v>149</v>
      </c>
      <c r="H8" s="71" t="n">
        <f aca="false">IF(G8="Annual",F8,F8*12)</f>
        <v>78000</v>
      </c>
      <c r="I8" s="64"/>
      <c r="J8" s="62" t="n">
        <v>0</v>
      </c>
      <c r="K8" s="62"/>
      <c r="L8" s="73"/>
      <c r="M8" s="73" t="n">
        <v>1</v>
      </c>
      <c r="N8" s="73" t="n">
        <v>1</v>
      </c>
      <c r="O8" s="73" t="n">
        <v>1</v>
      </c>
      <c r="P8" s="74" t="n">
        <f aca="false">INDEX(M8:O8,ScenIdx)</f>
        <v>1</v>
      </c>
      <c r="Q8" s="75" t="n">
        <f aca="false">IF(I8="",RentGrowth,I8)</f>
        <v>0.03</v>
      </c>
      <c r="R8" s="76" t="n">
        <f aca="false">J8+IF(C8="Pipeline",LeaseDelay,0)</f>
        <v>0</v>
      </c>
      <c r="S8" s="77" t="s">
        <v>156</v>
      </c>
    </row>
    <row r="9" customFormat="false" ht="30" hidden="false" customHeight="true" outlineLevel="0" collapsed="false">
      <c r="A9" s="56" t="n">
        <v>4</v>
      </c>
      <c r="B9" s="68" t="s">
        <v>157</v>
      </c>
      <c r="C9" s="58" t="s">
        <v>147</v>
      </c>
      <c r="D9" s="69" t="s">
        <v>158</v>
      </c>
      <c r="E9" s="59"/>
      <c r="F9" s="70" t="n">
        <v>4000</v>
      </c>
      <c r="G9" s="58" t="s">
        <v>149</v>
      </c>
      <c r="H9" s="71" t="n">
        <f aca="false">IF(G9="Annual",F9,F9*12)</f>
        <v>48000</v>
      </c>
      <c r="I9" s="64"/>
      <c r="J9" s="62" t="n">
        <v>0</v>
      </c>
      <c r="K9" s="62"/>
      <c r="L9" s="73"/>
      <c r="M9" s="73" t="n">
        <v>1</v>
      </c>
      <c r="N9" s="73" t="n">
        <v>1</v>
      </c>
      <c r="O9" s="73" t="n">
        <v>1</v>
      </c>
      <c r="P9" s="74" t="n">
        <f aca="false">INDEX(M9:O9,ScenIdx)</f>
        <v>1</v>
      </c>
      <c r="Q9" s="75" t="n">
        <f aca="false">IF(I9="",RentGrowth,I9)</f>
        <v>0.03</v>
      </c>
      <c r="R9" s="76" t="n">
        <f aca="false">J9+IF(C9="Pipeline",LeaseDelay,0)</f>
        <v>0</v>
      </c>
      <c r="S9" s="77" t="s">
        <v>159</v>
      </c>
    </row>
    <row r="10" customFormat="false" ht="30" hidden="false" customHeight="true" outlineLevel="0" collapsed="false">
      <c r="A10" s="56" t="n">
        <v>5</v>
      </c>
      <c r="B10" s="68" t="s">
        <v>160</v>
      </c>
      <c r="C10" s="58" t="s">
        <v>147</v>
      </c>
      <c r="D10" s="69" t="s">
        <v>161</v>
      </c>
      <c r="E10" s="59"/>
      <c r="F10" s="78" t="n">
        <v>2100</v>
      </c>
      <c r="G10" s="58" t="s">
        <v>149</v>
      </c>
      <c r="H10" s="71" t="n">
        <f aca="false">IF(G10="Annual",F10,F10*12)</f>
        <v>25200</v>
      </c>
      <c r="I10" s="64"/>
      <c r="J10" s="62" t="n">
        <v>0</v>
      </c>
      <c r="K10" s="62"/>
      <c r="L10" s="73"/>
      <c r="M10" s="73" t="n">
        <v>1</v>
      </c>
      <c r="N10" s="73" t="n">
        <v>1</v>
      </c>
      <c r="O10" s="72" t="n">
        <v>0.75</v>
      </c>
      <c r="P10" s="74" t="n">
        <f aca="false">INDEX(M10:O10,ScenIdx)</f>
        <v>1</v>
      </c>
      <c r="Q10" s="75" t="n">
        <f aca="false">IF(I10="",RentGrowth,I10)</f>
        <v>0.03</v>
      </c>
      <c r="R10" s="76" t="n">
        <f aca="false">J10+IF(C10="Pipeline",LeaseDelay,0)</f>
        <v>0</v>
      </c>
      <c r="S10" s="77" t="s">
        <v>162</v>
      </c>
    </row>
    <row r="11" customFormat="false" ht="30" hidden="false" customHeight="true" outlineLevel="0" collapsed="false">
      <c r="A11" s="56" t="n">
        <v>6</v>
      </c>
      <c r="B11" s="68" t="s">
        <v>163</v>
      </c>
      <c r="C11" s="58" t="s">
        <v>147</v>
      </c>
      <c r="D11" s="69" t="s">
        <v>164</v>
      </c>
      <c r="E11" s="59" t="n">
        <v>0.5</v>
      </c>
      <c r="F11" s="70" t="n">
        <v>1500</v>
      </c>
      <c r="G11" s="58" t="s">
        <v>149</v>
      </c>
      <c r="H11" s="71" t="n">
        <f aca="false">IF(G11="Annual",F11,F11*12)</f>
        <v>18000</v>
      </c>
      <c r="I11" s="64"/>
      <c r="J11" s="62" t="n">
        <v>0</v>
      </c>
      <c r="K11" s="62"/>
      <c r="L11" s="73"/>
      <c r="M11" s="73" t="n">
        <v>1</v>
      </c>
      <c r="N11" s="73" t="n">
        <v>1</v>
      </c>
      <c r="O11" s="73" t="n">
        <v>1</v>
      </c>
      <c r="P11" s="74" t="n">
        <f aca="false">INDEX(M11:O11,ScenIdx)</f>
        <v>1</v>
      </c>
      <c r="Q11" s="75" t="n">
        <f aca="false">IF(I11="",RentGrowth,I11)</f>
        <v>0.03</v>
      </c>
      <c r="R11" s="76" t="n">
        <f aca="false">J11+IF(C11="Pipeline",LeaseDelay,0)</f>
        <v>0</v>
      </c>
      <c r="S11" s="77" t="s">
        <v>165</v>
      </c>
    </row>
    <row r="12" customFormat="false" ht="30" hidden="false" customHeight="true" outlineLevel="0" collapsed="false">
      <c r="A12" s="56" t="n">
        <v>7</v>
      </c>
      <c r="B12" s="68" t="s">
        <v>166</v>
      </c>
      <c r="C12" s="58" t="s">
        <v>147</v>
      </c>
      <c r="D12" s="69" t="s">
        <v>167</v>
      </c>
      <c r="E12" s="59"/>
      <c r="F12" s="70" t="n">
        <v>8000</v>
      </c>
      <c r="G12" s="58" t="s">
        <v>168</v>
      </c>
      <c r="H12" s="71" t="n">
        <f aca="false">IF(G12="Annual",F12,F12*12)</f>
        <v>8000</v>
      </c>
      <c r="I12" s="64"/>
      <c r="J12" s="62" t="n">
        <v>0</v>
      </c>
      <c r="K12" s="62"/>
      <c r="L12" s="73"/>
      <c r="M12" s="73" t="n">
        <v>1</v>
      </c>
      <c r="N12" s="73" t="n">
        <v>1</v>
      </c>
      <c r="O12" s="73" t="n">
        <v>1</v>
      </c>
      <c r="P12" s="74" t="n">
        <f aca="false">INDEX(M12:O12,ScenIdx)</f>
        <v>1</v>
      </c>
      <c r="Q12" s="75" t="n">
        <f aca="false">IF(I12="",RentGrowth,I12)</f>
        <v>0.03</v>
      </c>
      <c r="R12" s="76" t="n">
        <f aca="false">J12+IF(C12="Pipeline",LeaseDelay,0)</f>
        <v>0</v>
      </c>
      <c r="S12" s="77" t="s">
        <v>169</v>
      </c>
    </row>
    <row r="13" customFormat="false" ht="30" hidden="false" customHeight="true" outlineLevel="0" collapsed="false">
      <c r="A13" s="56" t="n">
        <v>8</v>
      </c>
      <c r="B13" s="68" t="s">
        <v>170</v>
      </c>
      <c r="C13" s="58" t="s">
        <v>171</v>
      </c>
      <c r="D13" s="69" t="s">
        <v>172</v>
      </c>
      <c r="E13" s="59" t="n">
        <v>1</v>
      </c>
      <c r="F13" s="70" t="n">
        <v>3500</v>
      </c>
      <c r="G13" s="58" t="s">
        <v>149</v>
      </c>
      <c r="H13" s="71" t="n">
        <f aca="false">IF(G13="Annual",F13,F13*12)</f>
        <v>42000</v>
      </c>
      <c r="I13" s="64"/>
      <c r="J13" s="53" t="n">
        <v>3</v>
      </c>
      <c r="K13" s="62"/>
      <c r="L13" s="73"/>
      <c r="M13" s="73" t="n">
        <v>1</v>
      </c>
      <c r="N13" s="73" t="n">
        <v>1</v>
      </c>
      <c r="O13" s="73" t="n">
        <v>0</v>
      </c>
      <c r="P13" s="74" t="n">
        <f aca="false">INDEX(M13:O13,ScenIdx)</f>
        <v>1</v>
      </c>
      <c r="Q13" s="75" t="n">
        <f aca="false">IF(I13="",RentGrowth,I13)</f>
        <v>0.03</v>
      </c>
      <c r="R13" s="76" t="n">
        <f aca="false">J13+IF(C13="Pipeline",LeaseDelay,0)</f>
        <v>3</v>
      </c>
      <c r="S13" s="77" t="s">
        <v>173</v>
      </c>
    </row>
    <row r="14" customFormat="false" ht="30" hidden="false" customHeight="true" outlineLevel="0" collapsed="false">
      <c r="A14" s="56" t="n">
        <v>9</v>
      </c>
      <c r="B14" s="68" t="s">
        <v>174</v>
      </c>
      <c r="C14" s="58" t="s">
        <v>171</v>
      </c>
      <c r="D14" s="69" t="s">
        <v>175</v>
      </c>
      <c r="E14" s="59"/>
      <c r="F14" s="70" t="n">
        <v>1000</v>
      </c>
      <c r="G14" s="58" t="s">
        <v>149</v>
      </c>
      <c r="H14" s="71" t="n">
        <f aca="false">IF(G14="Annual",F14,F14*12)</f>
        <v>12000</v>
      </c>
      <c r="I14" s="64"/>
      <c r="J14" s="53" t="n">
        <v>3</v>
      </c>
      <c r="K14" s="62"/>
      <c r="L14" s="73"/>
      <c r="M14" s="73" t="n">
        <v>1</v>
      </c>
      <c r="N14" s="73" t="n">
        <v>1</v>
      </c>
      <c r="O14" s="73" t="n">
        <v>0</v>
      </c>
      <c r="P14" s="74" t="n">
        <f aca="false">INDEX(M14:O14,ScenIdx)</f>
        <v>1</v>
      </c>
      <c r="Q14" s="75" t="n">
        <f aca="false">IF(I14="",RentGrowth,I14)</f>
        <v>0.03</v>
      </c>
      <c r="R14" s="76" t="n">
        <f aca="false">J14+IF(C14="Pipeline",LeaseDelay,0)</f>
        <v>3</v>
      </c>
      <c r="S14" s="77" t="s">
        <v>176</v>
      </c>
    </row>
    <row r="15" customFormat="false" ht="30" hidden="false" customHeight="true" outlineLevel="0" collapsed="false">
      <c r="A15" s="56" t="n">
        <v>10</v>
      </c>
      <c r="B15" s="68" t="s">
        <v>177</v>
      </c>
      <c r="C15" s="58" t="s">
        <v>171</v>
      </c>
      <c r="D15" s="69" t="s">
        <v>178</v>
      </c>
      <c r="E15" s="59" t="n">
        <v>5.75</v>
      </c>
      <c r="F15" s="70" t="n">
        <v>20000</v>
      </c>
      <c r="G15" s="58" t="s">
        <v>149</v>
      </c>
      <c r="H15" s="71" t="n">
        <f aca="false">IF(G15="Annual",F15,F15*12)</f>
        <v>240000</v>
      </c>
      <c r="I15" s="64"/>
      <c r="J15" s="53" t="n">
        <v>6</v>
      </c>
      <c r="K15" s="53" t="n">
        <v>18</v>
      </c>
      <c r="L15" s="72" t="n">
        <v>0.7</v>
      </c>
      <c r="M15" s="72" t="n">
        <v>0</v>
      </c>
      <c r="N15" s="73" t="n">
        <v>1</v>
      </c>
      <c r="O15" s="73" t="n">
        <v>0</v>
      </c>
      <c r="P15" s="74" t="n">
        <f aca="false">INDEX(M15:O15,ScenIdx)</f>
        <v>0</v>
      </c>
      <c r="Q15" s="75" t="n">
        <f aca="false">IF(I15="",RentGrowth,I15)</f>
        <v>0.03</v>
      </c>
      <c r="R15" s="76" t="n">
        <f aca="false">J15+IF(C15="Pipeline",LeaseDelay,0)</f>
        <v>6</v>
      </c>
      <c r="S15" s="77" t="s">
        <v>179</v>
      </c>
    </row>
    <row r="17" customFormat="false" ht="15" hidden="false" customHeight="false" outlineLevel="0" collapsed="false">
      <c r="B17" s="79" t="s">
        <v>180</v>
      </c>
      <c r="H17" s="80" t="n">
        <f aca="false">SUM(H6:H15)</f>
        <v>711200</v>
      </c>
    </row>
    <row r="18" customFormat="false" ht="15" hidden="false" customHeight="false" outlineLevel="0" collapsed="false">
      <c r="B18" s="48" t="s">
        <v>181</v>
      </c>
      <c r="H18" s="71" t="n">
        <f aca="false">SUMIF(C6:C15,"In-place",H6:H15)</f>
        <v>417200</v>
      </c>
    </row>
    <row r="19" customFormat="false" ht="15" hidden="false" customHeight="false" outlineLevel="0" collapsed="false">
      <c r="B19" s="48" t="s">
        <v>182</v>
      </c>
      <c r="H19" s="71" t="n">
        <f aca="false">SUMIF(C6:C15,"Pipeline",H6:H15)</f>
        <v>294000</v>
      </c>
    </row>
    <row r="20" customFormat="false" ht="15" hidden="false" customHeight="false" outlineLevel="0" collapsed="false">
      <c r="B20" s="79" t="s">
        <v>183</v>
      </c>
      <c r="H20" s="80" t="n">
        <f aca="false">SUMPRODUCT(H6:H15,P6:P15)</f>
        <v>471200</v>
      </c>
    </row>
    <row r="22" customFormat="false" ht="15" hidden="false" customHeight="false" outlineLevel="0" collapsed="false">
      <c r="B22" s="48" t="s">
        <v>184</v>
      </c>
      <c r="H22" s="81" t="n">
        <f aca="false">SUMIF(C6:C15,"In-place",E6:E15)</f>
        <v>3.06</v>
      </c>
    </row>
    <row r="23" customFormat="false" ht="15" hidden="false" customHeight="false" outlineLevel="0" collapsed="false">
      <c r="B23" s="48" t="s">
        <v>75</v>
      </c>
      <c r="H23" s="82" t="n">
        <f aca="false">Acres</f>
        <v>37</v>
      </c>
    </row>
    <row r="24" customFormat="false" ht="23.85" hidden="false" customHeight="false" outlineLevel="0" collapsed="false">
      <c r="B24" s="48" t="s">
        <v>185</v>
      </c>
      <c r="H24" s="81" t="n">
        <f aca="false">H23-H22</f>
        <v>33.94</v>
      </c>
      <c r="S24" s="77" t="s">
        <v>186</v>
      </c>
    </row>
  </sheetData>
  <dataValidations count="3">
    <dataValidation allowBlank="false" errorStyle="stop" operator="between" showDropDown="false" showErrorMessage="false" showInputMessage="false" sqref="G6:G15" type="list">
      <formula1>"Monthly,Annual"</formula1>
      <formula2>0</formula2>
    </dataValidation>
    <dataValidation allowBlank="false" errorStyle="stop" operator="between" showDropDown="false" showErrorMessage="false" showInputMessage="false" sqref="C6:C15" type="list">
      <formula1>"In-place,Pipeline"</formula1>
      <formula2>0</formula2>
    </dataValidation>
    <dataValidation allowBlank="true" errorStyle="stop" operator="between" showDropDown="false" showErrorMessage="false" showInputMessage="false" sqref="L6:O15" type="decimal">
      <formula1>0</formula1>
      <formula2>1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E5AA7"/>
    <pageSetUpPr fitToPage="false"/>
  </sheetPr>
  <dimension ref="A1:L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1"/>
    <col collapsed="false" customWidth="true" hidden="false" outlineLevel="0" max="3" min="3" style="0" width="13"/>
    <col collapsed="false" customWidth="true" hidden="false" outlineLevel="0" max="5" min="4" style="0" width="9"/>
    <col collapsed="false" customWidth="true" hidden="false" outlineLevel="0" max="6" min="6" style="0" width="14"/>
    <col collapsed="false" customWidth="true" hidden="false" outlineLevel="0" max="8" min="7" style="0" width="8"/>
    <col collapsed="false" customWidth="true" hidden="false" outlineLevel="0" max="10" min="9" style="0" width="9"/>
    <col collapsed="false" customWidth="true" hidden="false" outlineLevel="0" max="11" min="11" style="0" width="15"/>
    <col collapsed="false" customWidth="true" hidden="false" outlineLevel="0" max="12" min="12" style="0" width="70"/>
  </cols>
  <sheetData>
    <row r="1" customFormat="false" ht="19.7" hidden="false" customHeight="false" outlineLevel="0" collapsed="false">
      <c r="A1" s="43" t="s">
        <v>187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</row>
    <row r="2" customFormat="false" ht="15" hidden="false" customHeight="false" outlineLevel="0" collapsed="false">
      <c r="A2" s="45" t="s">
        <v>188</v>
      </c>
    </row>
    <row r="3" customFormat="false" ht="15" hidden="false" customHeight="false" outlineLevel="0" collapsed="false">
      <c r="A3" s="45" t="s">
        <v>189</v>
      </c>
    </row>
    <row r="5" customFormat="false" ht="30" hidden="false" customHeight="true" outlineLevel="0" collapsed="false">
      <c r="A5" s="67" t="s">
        <v>190</v>
      </c>
      <c r="B5" s="67" t="s">
        <v>191</v>
      </c>
      <c r="C5" s="67" t="s">
        <v>192</v>
      </c>
      <c r="D5" s="67" t="s">
        <v>193</v>
      </c>
      <c r="E5" s="67" t="s">
        <v>194</v>
      </c>
      <c r="F5" s="67" t="s">
        <v>195</v>
      </c>
      <c r="G5" s="67" t="s">
        <v>3</v>
      </c>
      <c r="H5" s="67" t="s">
        <v>55</v>
      </c>
      <c r="I5" s="67" t="s">
        <v>56</v>
      </c>
      <c r="J5" s="67" t="s">
        <v>57</v>
      </c>
      <c r="K5" s="67" t="s">
        <v>196</v>
      </c>
      <c r="L5" s="67" t="s">
        <v>58</v>
      </c>
    </row>
    <row r="6" customFormat="false" ht="15" hidden="false" customHeight="false" outlineLevel="0" collapsed="false">
      <c r="A6" s="83" t="s">
        <v>197</v>
      </c>
      <c r="B6" s="58" t="s">
        <v>198</v>
      </c>
      <c r="C6" s="78" t="n">
        <v>35000</v>
      </c>
      <c r="D6" s="84" t="n">
        <f aca="false">RentRoll!E15</f>
        <v>5.75</v>
      </c>
      <c r="E6" s="62" t="n">
        <v>1</v>
      </c>
      <c r="F6" s="71" t="n">
        <f aca="false">C6*D6</f>
        <v>201250</v>
      </c>
      <c r="G6" s="62" t="n">
        <v>0</v>
      </c>
      <c r="H6" s="62" t="n">
        <v>1</v>
      </c>
      <c r="I6" s="62" t="n">
        <v>0</v>
      </c>
      <c r="J6" s="76" t="n">
        <f aca="false">INDEX($G6:$I6,ScenIdx)</f>
        <v>0</v>
      </c>
      <c r="K6" s="80" t="n">
        <f aca="false">F6*J6*(1+CapexOverrun)</f>
        <v>0</v>
      </c>
      <c r="L6" s="45" t="s">
        <v>199</v>
      </c>
    </row>
    <row r="7" customFormat="false" ht="15" hidden="false" customHeight="false" outlineLevel="0" collapsed="false">
      <c r="A7" s="83" t="s">
        <v>200</v>
      </c>
      <c r="B7" s="58" t="s">
        <v>198</v>
      </c>
      <c r="C7" s="78" t="n">
        <v>35000</v>
      </c>
      <c r="D7" s="85" t="n">
        <v>1.5</v>
      </c>
      <c r="E7" s="62" t="n">
        <v>1</v>
      </c>
      <c r="F7" s="71" t="n">
        <f aca="false">C7*D7</f>
        <v>52500</v>
      </c>
      <c r="G7" s="62" t="n">
        <v>1</v>
      </c>
      <c r="H7" s="62" t="n">
        <v>1</v>
      </c>
      <c r="I7" s="62" t="n">
        <v>0</v>
      </c>
      <c r="J7" s="76" t="n">
        <f aca="false">INDEX($G7:$I7,ScenIdx)</f>
        <v>1</v>
      </c>
      <c r="K7" s="80" t="n">
        <f aca="false">F7*J7*(1+CapexOverrun)</f>
        <v>52500</v>
      </c>
      <c r="L7" s="45" t="s">
        <v>201</v>
      </c>
    </row>
    <row r="8" customFormat="false" ht="15" hidden="false" customHeight="false" outlineLevel="0" collapsed="false">
      <c r="A8" s="83" t="s">
        <v>202</v>
      </c>
      <c r="B8" s="58" t="s">
        <v>203</v>
      </c>
      <c r="C8" s="78" t="n">
        <v>60000</v>
      </c>
      <c r="D8" s="85" t="n">
        <v>1</v>
      </c>
      <c r="E8" s="62" t="n">
        <v>1</v>
      </c>
      <c r="F8" s="71" t="n">
        <f aca="false">C8*D8</f>
        <v>60000</v>
      </c>
      <c r="G8" s="62" t="n">
        <v>1</v>
      </c>
      <c r="H8" s="62" t="n">
        <v>1</v>
      </c>
      <c r="I8" s="62" t="n">
        <v>1</v>
      </c>
      <c r="J8" s="76" t="n">
        <f aca="false">INDEX($G8:$I8,ScenIdx)</f>
        <v>1</v>
      </c>
      <c r="K8" s="80" t="n">
        <f aca="false">F8*J8*(1+CapexOverrun)</f>
        <v>60000</v>
      </c>
      <c r="L8" s="45" t="s">
        <v>123</v>
      </c>
    </row>
    <row r="9" customFormat="false" ht="15" hidden="false" customHeight="false" outlineLevel="0" collapsed="false">
      <c r="A9" s="83" t="s">
        <v>204</v>
      </c>
      <c r="B9" s="58" t="s">
        <v>203</v>
      </c>
      <c r="C9" s="78" t="n">
        <v>45000</v>
      </c>
      <c r="D9" s="85" t="n">
        <v>1</v>
      </c>
      <c r="E9" s="62" t="n">
        <v>2</v>
      </c>
      <c r="F9" s="71" t="n">
        <f aca="false">C9*D9</f>
        <v>45000</v>
      </c>
      <c r="G9" s="62" t="n">
        <v>1</v>
      </c>
      <c r="H9" s="62" t="n">
        <v>1</v>
      </c>
      <c r="I9" s="62" t="n">
        <v>1</v>
      </c>
      <c r="J9" s="76" t="n">
        <f aca="false">INDEX($G9:$I9,ScenIdx)</f>
        <v>1</v>
      </c>
      <c r="K9" s="80" t="n">
        <f aca="false">F9*J9*(1+CapexOverrun)</f>
        <v>45000</v>
      </c>
      <c r="L9" s="45" t="s">
        <v>123</v>
      </c>
    </row>
    <row r="10" customFormat="false" ht="15" hidden="false" customHeight="false" outlineLevel="0" collapsed="false">
      <c r="A10" s="86" t="s">
        <v>205</v>
      </c>
      <c r="F10" s="87" t="n">
        <f aca="false">SUM(F6:F9)</f>
        <v>358750</v>
      </c>
      <c r="K10" s="87" t="n">
        <f aca="false">SUM(K6:K9)</f>
        <v>157500</v>
      </c>
    </row>
  </sheetData>
  <dataValidations count="2">
    <dataValidation allowBlank="false" errorStyle="stop" operator="between" showDropDown="false" showErrorMessage="false" showInputMessage="false" sqref="E6:E9" type="whole">
      <formula1>1</formula1>
      <formula2>10</formula2>
    </dataValidation>
    <dataValidation allowBlank="false" errorStyle="stop" operator="between" showDropDown="false" showErrorMessage="false" showInputMessage="false" sqref="G6:I9" type="list">
      <formula1>"0,1"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B7A88"/>
    <pageSetUpPr fitToPage="false"/>
  </sheetPr>
  <dimension ref="A1:N8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3"/>
    <col collapsed="false" customWidth="true" hidden="false" outlineLevel="0" max="14" min="3" style="0" width="13"/>
  </cols>
  <sheetData>
    <row r="1" customFormat="false" ht="19.7" hidden="false" customHeight="false" outlineLevel="0" collapsed="false">
      <c r="A1" s="43" t="s">
        <v>206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</row>
    <row r="2" customFormat="false" ht="15" hidden="false" customHeight="false" outlineLevel="0" collapsed="false">
      <c r="A2" s="45" t="str">
        <f aca="false">"Scenario: "&amp;Inputs!$B$11&amp;"  |  Hold: "&amp;Hold&amp;" yrs  |  Year 0 = closing; Year 11 is only used as the forward NOI for a Year-10 exit"</f>
        <v>Scenario: Base  |  Hold: 7 yrs  |  Year 0 = closing; Year 11 is only used as the forward NOI for a Year-10 exit</v>
      </c>
    </row>
    <row r="4" customFormat="false" ht="15" hidden="false" customHeight="false" outlineLevel="0" collapsed="false">
      <c r="A4" s="88" t="s">
        <v>194</v>
      </c>
      <c r="C4" s="89" t="n">
        <v>0</v>
      </c>
      <c r="D4" s="89" t="n">
        <f aca="false">C4+1</f>
        <v>1</v>
      </c>
      <c r="E4" s="89" t="n">
        <f aca="false">D4+1</f>
        <v>2</v>
      </c>
      <c r="F4" s="89" t="n">
        <f aca="false">E4+1</f>
        <v>3</v>
      </c>
      <c r="G4" s="89" t="n">
        <f aca="false">F4+1</f>
        <v>4</v>
      </c>
      <c r="H4" s="89" t="n">
        <f aca="false">G4+1</f>
        <v>5</v>
      </c>
      <c r="I4" s="89" t="n">
        <f aca="false">H4+1</f>
        <v>6</v>
      </c>
      <c r="J4" s="89" t="n">
        <f aca="false">I4+1</f>
        <v>7</v>
      </c>
      <c r="K4" s="89" t="n">
        <f aca="false">J4+1</f>
        <v>8</v>
      </c>
      <c r="L4" s="89" t="n">
        <f aca="false">K4+1</f>
        <v>9</v>
      </c>
      <c r="M4" s="89" t="n">
        <f aca="false">L4+1</f>
        <v>10</v>
      </c>
      <c r="N4" s="89" t="n">
        <f aca="false">M4+1</f>
        <v>11</v>
      </c>
    </row>
    <row r="5" customFormat="false" ht="15" hidden="false" customHeight="false" outlineLevel="0" collapsed="false">
      <c r="A5" s="48" t="s">
        <v>207</v>
      </c>
      <c r="D5" s="90" t="n">
        <f aca="false">IF(AND(D$4&gt;=1,D$4&lt;=Hold),1,0)</f>
        <v>1</v>
      </c>
      <c r="E5" s="90" t="n">
        <f aca="false">IF(AND(E$4&gt;=1,E$4&lt;=Hold),1,0)</f>
        <v>1</v>
      </c>
      <c r="F5" s="90" t="n">
        <f aca="false">IF(AND(F$4&gt;=1,F$4&lt;=Hold),1,0)</f>
        <v>1</v>
      </c>
      <c r="G5" s="90" t="n">
        <f aca="false">IF(AND(G$4&gt;=1,G$4&lt;=Hold),1,0)</f>
        <v>1</v>
      </c>
      <c r="H5" s="90" t="n">
        <f aca="false">IF(AND(H$4&gt;=1,H$4&lt;=Hold),1,0)</f>
        <v>1</v>
      </c>
      <c r="I5" s="90" t="n">
        <f aca="false">IF(AND(I$4&gt;=1,I$4&lt;=Hold),1,0)</f>
        <v>1</v>
      </c>
      <c r="J5" s="90" t="n">
        <f aca="false">IF(AND(J$4&gt;=1,J$4&lt;=Hold),1,0)</f>
        <v>1</v>
      </c>
      <c r="K5" s="90" t="n">
        <f aca="false">IF(AND(K$4&gt;=1,K$4&lt;=Hold),1,0)</f>
        <v>0</v>
      </c>
      <c r="L5" s="90" t="n">
        <f aca="false">IF(AND(L$4&gt;=1,L$4&lt;=Hold),1,0)</f>
        <v>0</v>
      </c>
      <c r="M5" s="90" t="n">
        <f aca="false">IF(AND(M$4&gt;=1,M$4&lt;=Hold),1,0)</f>
        <v>0</v>
      </c>
      <c r="N5" s="90" t="n">
        <f aca="false">IF(AND(N$4&gt;=1,N$4&lt;=Hold),1,0)</f>
        <v>0</v>
      </c>
    </row>
    <row r="6" customFormat="false" ht="15" hidden="false" customHeight="false" outlineLevel="0" collapsed="false">
      <c r="A6" s="48" t="s">
        <v>208</v>
      </c>
      <c r="D6" s="90" t="n">
        <f aca="false">IF(D$4=Hold,1,0)</f>
        <v>0</v>
      </c>
      <c r="E6" s="90" t="n">
        <f aca="false">IF(E$4=Hold,1,0)</f>
        <v>0</v>
      </c>
      <c r="F6" s="90" t="n">
        <f aca="false">IF(F$4=Hold,1,0)</f>
        <v>0</v>
      </c>
      <c r="G6" s="90" t="n">
        <f aca="false">IF(G$4=Hold,1,0)</f>
        <v>0</v>
      </c>
      <c r="H6" s="90" t="n">
        <f aca="false">IF(H$4=Hold,1,0)</f>
        <v>0</v>
      </c>
      <c r="I6" s="90" t="n">
        <f aca="false">IF(I$4=Hold,1,0)</f>
        <v>0</v>
      </c>
      <c r="J6" s="90" t="n">
        <f aca="false">IF(J$4=Hold,1,0)</f>
        <v>1</v>
      </c>
      <c r="K6" s="90" t="n">
        <f aca="false">IF(K$4=Hold,1,0)</f>
        <v>0</v>
      </c>
      <c r="L6" s="90" t="n">
        <f aca="false">IF(L$4=Hold,1,0)</f>
        <v>0</v>
      </c>
      <c r="M6" s="90" t="n">
        <f aca="false">IF(M$4=Hold,1,0)</f>
        <v>0</v>
      </c>
      <c r="N6" s="90" t="n">
        <f aca="false">IF(N$4=Hold,1,0)</f>
        <v>0</v>
      </c>
    </row>
    <row r="8" customFormat="false" ht="15" hidden="false" customHeight="false" outlineLevel="0" collapsed="false">
      <c r="A8" s="57" t="s">
        <v>209</v>
      </c>
      <c r="B8" s="57"/>
      <c r="C8" s="57"/>
      <c r="D8" s="57"/>
      <c r="E8" s="57"/>
      <c r="F8" s="57"/>
      <c r="G8" s="57"/>
      <c r="H8" s="57"/>
      <c r="I8" s="57"/>
      <c r="J8" s="57"/>
      <c r="K8" s="57"/>
      <c r="L8" s="57"/>
      <c r="M8" s="57"/>
      <c r="N8" s="57"/>
    </row>
    <row r="9" customFormat="false" ht="15" hidden="false" customHeight="false" outlineLevel="0" collapsed="false">
      <c r="A9" s="91" t="str">
        <f aca="false">RentRoll!B6</f>
        <v>S&amp;A Leasing</v>
      </c>
      <c r="D9" s="71" t="n">
        <f aca="false">RentRoll!$H$6*RentRoll!$P$6*(1+RentRoll!$Q$6)^(D$4-1)*(MAX(0,MIN(12*D$4,IF(RentRoll!$K$6="",99999,RentRoll!$K$6))-MAX(12*(D$4-1),RentRoll!$R$6))+RentRoll!$L$6*MAX(0,12*D$4-MAX(12*(D$4-1),IF(RentRoll!$K$6="",99999,RentRoll!$K$6),RentRoll!$R$6)))/12</f>
        <v>156000</v>
      </c>
      <c r="E9" s="71" t="n">
        <f aca="false">RentRoll!$H$6*RentRoll!$P$6*(1+RentRoll!$Q$6)^(E$4-1)*(MAX(0,MIN(12*E$4,IF(RentRoll!$K$6="",99999,RentRoll!$K$6))-MAX(12*(E$4-1),RentRoll!$R$6))+RentRoll!$L$6*MAX(0,12*E$4-MAX(12*(E$4-1),IF(RentRoll!$K$6="",99999,RentRoll!$K$6),RentRoll!$R$6)))/12</f>
        <v>160680</v>
      </c>
      <c r="F9" s="71" t="n">
        <f aca="false">RentRoll!$H$6*RentRoll!$P$6*(1+RentRoll!$Q$6)^(F$4-1)*(MAX(0,MIN(12*F$4,IF(RentRoll!$K$6="",99999,RentRoll!$K$6))-MAX(12*(F$4-1),RentRoll!$R$6))+RentRoll!$L$6*MAX(0,12*F$4-MAX(12*(F$4-1),IF(RentRoll!$K$6="",99999,RentRoll!$K$6),RentRoll!$R$6)))/12</f>
        <v>165500.4</v>
      </c>
      <c r="G9" s="71" t="n">
        <f aca="false">RentRoll!$H$6*RentRoll!$P$6*(1+RentRoll!$Q$6)^(G$4-1)*(MAX(0,MIN(12*G$4,IF(RentRoll!$K$6="",99999,RentRoll!$K$6))-MAX(12*(G$4-1),RentRoll!$R$6))+RentRoll!$L$6*MAX(0,12*G$4-MAX(12*(G$4-1),IF(RentRoll!$K$6="",99999,RentRoll!$K$6),RentRoll!$R$6)))/12</f>
        <v>170465.412</v>
      </c>
      <c r="H9" s="71" t="n">
        <f aca="false">RentRoll!$H$6*RentRoll!$P$6*(1+RentRoll!$Q$6)^(H$4-1)*(MAX(0,MIN(12*H$4,IF(RentRoll!$K$6="",99999,RentRoll!$K$6))-MAX(12*(H$4-1),RentRoll!$R$6))+RentRoll!$L$6*MAX(0,12*H$4-MAX(12*(H$4-1),IF(RentRoll!$K$6="",99999,RentRoll!$K$6),RentRoll!$R$6)))/12</f>
        <v>175579.37436</v>
      </c>
      <c r="I9" s="71" t="n">
        <f aca="false">RentRoll!$H$6*RentRoll!$P$6*(1+RentRoll!$Q$6)^(I$4-1)*(MAX(0,MIN(12*I$4,IF(RentRoll!$K$6="",99999,RentRoll!$K$6))-MAX(12*(I$4-1),RentRoll!$R$6))+RentRoll!$L$6*MAX(0,12*I$4-MAX(12*(I$4-1),IF(RentRoll!$K$6="",99999,RentRoll!$K$6),RentRoll!$R$6)))/12</f>
        <v>153719.74225218</v>
      </c>
      <c r="J9" s="71" t="n">
        <f aca="false">RentRoll!$H$6*RentRoll!$P$6*(1+RentRoll!$Q$6)^(J$4-1)*(MAX(0,MIN(12*J$4,IF(RentRoll!$K$6="",99999,RentRoll!$K$6))-MAX(12*(J$4-1),RentRoll!$R$6))+RentRoll!$L$6*MAX(0,12*J$4-MAX(12*(J$4-1),IF(RentRoll!$K$6="",99999,RentRoll!$K$6),RentRoll!$R$6)))/12</f>
        <v>158331.334519745</v>
      </c>
      <c r="K9" s="71" t="n">
        <f aca="false">RentRoll!$H$6*RentRoll!$P$6*(1+RentRoll!$Q$6)^(K$4-1)*(MAX(0,MIN(12*K$4,IF(RentRoll!$K$6="",99999,RentRoll!$K$6))-MAX(12*(K$4-1),RentRoll!$R$6))+RentRoll!$L$6*MAX(0,12*K$4-MAX(12*(K$4-1),IF(RentRoll!$K$6="",99999,RentRoll!$K$6),RentRoll!$R$6)))/12</f>
        <v>163081.274555338</v>
      </c>
      <c r="L9" s="71" t="n">
        <f aca="false">RentRoll!$H$6*RentRoll!$P$6*(1+RentRoll!$Q$6)^(L$4-1)*(MAX(0,MIN(12*L$4,IF(RentRoll!$K$6="",99999,RentRoll!$K$6))-MAX(12*(L$4-1),RentRoll!$R$6))+RentRoll!$L$6*MAX(0,12*L$4-MAX(12*(L$4-1),IF(RentRoll!$K$6="",99999,RentRoll!$K$6),RentRoll!$R$6)))/12</f>
        <v>167973.712791998</v>
      </c>
      <c r="M9" s="71" t="n">
        <f aca="false">RentRoll!$H$6*RentRoll!$P$6*(1+RentRoll!$Q$6)^(M$4-1)*(MAX(0,MIN(12*M$4,IF(RentRoll!$K$6="",99999,RentRoll!$K$6))-MAX(12*(M$4-1),RentRoll!$R$6))+RentRoll!$L$6*MAX(0,12*M$4-MAX(12*(M$4-1),IF(RentRoll!$K$6="",99999,RentRoll!$K$6),RentRoll!$R$6)))/12</f>
        <v>173012.924175758</v>
      </c>
      <c r="N9" s="71" t="n">
        <f aca="false">RentRoll!$H$6*RentRoll!$P$6*(1+RentRoll!$Q$6)^(N$4-1)*(MAX(0,MIN(12*N$4,IF(RentRoll!$K$6="",99999,RentRoll!$K$6))-MAX(12*(N$4-1),RentRoll!$R$6))+RentRoll!$L$6*MAX(0,12*N$4-MAX(12*(N$4-1),IF(RentRoll!$K$6="",99999,RentRoll!$K$6),RentRoll!$R$6)))/12</f>
        <v>178203.311901031</v>
      </c>
    </row>
    <row r="10" customFormat="false" ht="15" hidden="false" customHeight="false" outlineLevel="0" collapsed="false">
      <c r="A10" s="91" t="str">
        <f aca="false">RentRoll!B7</f>
        <v>Reindeer (Prime)</v>
      </c>
      <c r="D10" s="71" t="n">
        <f aca="false">RentRoll!$H$7*RentRoll!$P$7*(1+RentRoll!$Q$7)^(D$4-1)*(MAX(0,MIN(12*D$4,IF(RentRoll!$K$7="",99999,RentRoll!$K$7))-MAX(12*(D$4-1),RentRoll!$R$7))+RentRoll!$L$7*MAX(0,12*D$4-MAX(12*(D$4-1),IF(RentRoll!$K$7="",99999,RentRoll!$K$7),RentRoll!$R$7)))/12</f>
        <v>84000</v>
      </c>
      <c r="E10" s="71" t="n">
        <f aca="false">RentRoll!$H$7*RentRoll!$P$7*(1+RentRoll!$Q$7)^(E$4-1)*(MAX(0,MIN(12*E$4,IF(RentRoll!$K$7="",99999,RentRoll!$K$7))-MAX(12*(E$4-1),RentRoll!$R$7))+RentRoll!$L$7*MAX(0,12*E$4-MAX(12*(E$4-1),IF(RentRoll!$K$7="",99999,RentRoll!$K$7),RentRoll!$R$7)))/12</f>
        <v>86520</v>
      </c>
      <c r="F10" s="71" t="n">
        <f aca="false">RentRoll!$H$7*RentRoll!$P$7*(1+RentRoll!$Q$7)^(F$4-1)*(MAX(0,MIN(12*F$4,IF(RentRoll!$K$7="",99999,RentRoll!$K$7))-MAX(12*(F$4-1),RentRoll!$R$7))+RentRoll!$L$7*MAX(0,12*F$4-MAX(12*(F$4-1),IF(RentRoll!$K$7="",99999,RentRoll!$K$7),RentRoll!$R$7)))/12</f>
        <v>80204.04</v>
      </c>
      <c r="G10" s="71" t="n">
        <f aca="false">RentRoll!$H$7*RentRoll!$P$7*(1+RentRoll!$Q$7)^(G$4-1)*(MAX(0,MIN(12*G$4,IF(RentRoll!$K$7="",99999,RentRoll!$K$7))-MAX(12*(G$4-1),RentRoll!$R$7))+RentRoll!$L$7*MAX(0,12*G$4-MAX(12*(G$4-1),IF(RentRoll!$K$7="",99999,RentRoll!$K$7),RentRoll!$R$7)))/12</f>
        <v>82610.1612</v>
      </c>
      <c r="H10" s="71" t="n">
        <f aca="false">RentRoll!$H$7*RentRoll!$P$7*(1+RentRoll!$Q$7)^(H$4-1)*(MAX(0,MIN(12*H$4,IF(RentRoll!$K$7="",99999,RentRoll!$K$7))-MAX(12*(H$4-1),RentRoll!$R$7))+RentRoll!$L$7*MAX(0,12*H$4-MAX(12*(H$4-1),IF(RentRoll!$K$7="",99999,RentRoll!$K$7),RentRoll!$R$7)))/12</f>
        <v>85088.466036</v>
      </c>
      <c r="I10" s="71" t="n">
        <f aca="false">RentRoll!$H$7*RentRoll!$P$7*(1+RentRoll!$Q$7)^(I$4-1)*(MAX(0,MIN(12*I$4,IF(RentRoll!$K$7="",99999,RentRoll!$K$7))-MAX(12*(I$4-1),RentRoll!$R$7))+RentRoll!$L$7*MAX(0,12*I$4-MAX(12*(I$4-1),IF(RentRoll!$K$7="",99999,RentRoll!$K$7),RentRoll!$R$7)))/12</f>
        <v>87641.12001708</v>
      </c>
      <c r="J10" s="71" t="n">
        <f aca="false">RentRoll!$H$7*RentRoll!$P$7*(1+RentRoll!$Q$7)^(J$4-1)*(MAX(0,MIN(12*J$4,IF(RentRoll!$K$7="",99999,RentRoll!$K$7))-MAX(12*(J$4-1),RentRoll!$R$7))+RentRoll!$L$7*MAX(0,12*J$4-MAX(12*(J$4-1),IF(RentRoll!$K$7="",99999,RentRoll!$K$7),RentRoll!$R$7)))/12</f>
        <v>90270.3536175924</v>
      </c>
      <c r="K10" s="71" t="n">
        <f aca="false">RentRoll!$H$7*RentRoll!$P$7*(1+RentRoll!$Q$7)^(K$4-1)*(MAX(0,MIN(12*K$4,IF(RentRoll!$K$7="",99999,RentRoll!$K$7))-MAX(12*(K$4-1),RentRoll!$R$7))+RentRoll!$L$7*MAX(0,12*K$4-MAX(12*(K$4-1),IF(RentRoll!$K$7="",99999,RentRoll!$K$7),RentRoll!$R$7)))/12</f>
        <v>92978.4642261202</v>
      </c>
      <c r="L10" s="71" t="n">
        <f aca="false">RentRoll!$H$7*RentRoll!$P$7*(1+RentRoll!$Q$7)^(L$4-1)*(MAX(0,MIN(12*L$4,IF(RentRoll!$K$7="",99999,RentRoll!$K$7))-MAX(12*(L$4-1),RentRoll!$R$7))+RentRoll!$L$7*MAX(0,12*L$4-MAX(12*(L$4-1),IF(RentRoll!$K$7="",99999,RentRoll!$K$7),RentRoll!$R$7)))/12</f>
        <v>95767.8181529038</v>
      </c>
      <c r="M10" s="71" t="n">
        <f aca="false">RentRoll!$H$7*RentRoll!$P$7*(1+RentRoll!$Q$7)^(M$4-1)*(MAX(0,MIN(12*M$4,IF(RentRoll!$K$7="",99999,RentRoll!$K$7))-MAX(12*(M$4-1),RentRoll!$R$7))+RentRoll!$L$7*MAX(0,12*M$4-MAX(12*(M$4-1),IF(RentRoll!$K$7="",99999,RentRoll!$K$7),RentRoll!$R$7)))/12</f>
        <v>98640.8526974909</v>
      </c>
      <c r="N10" s="71" t="n">
        <f aca="false">RentRoll!$H$7*RentRoll!$P$7*(1+RentRoll!$Q$7)^(N$4-1)*(MAX(0,MIN(12*N$4,IF(RentRoll!$K$7="",99999,RentRoll!$K$7))-MAX(12*(N$4-1),RentRoll!$R$7))+RentRoll!$L$7*MAX(0,12*N$4-MAX(12*(N$4-1),IF(RentRoll!$K$7="",99999,RentRoll!$K$7),RentRoll!$R$7)))/12</f>
        <v>101600.078278416</v>
      </c>
    </row>
    <row r="11" customFormat="false" ht="15" hidden="false" customHeight="false" outlineLevel="0" collapsed="false">
      <c r="A11" s="91" t="str">
        <f aca="false">RentRoll!B8</f>
        <v>Straight 6</v>
      </c>
      <c r="D11" s="71" t="n">
        <f aca="false">RentRoll!$H$8*RentRoll!$P$8*(1+RentRoll!$Q$8)^(D$4-1)*(MAX(0,MIN(12*D$4,IF(RentRoll!$K$8="",99999,RentRoll!$K$8))-MAX(12*(D$4-1),RentRoll!$R$8))+RentRoll!$L$8*MAX(0,12*D$4-MAX(12*(D$4-1),IF(RentRoll!$K$8="",99999,RentRoll!$K$8),RentRoll!$R$8)))/12</f>
        <v>78000</v>
      </c>
      <c r="E11" s="71" t="n">
        <f aca="false">RentRoll!$H$8*RentRoll!$P$8*(1+RentRoll!$Q$8)^(E$4-1)*(MAX(0,MIN(12*E$4,IF(RentRoll!$K$8="",99999,RentRoll!$K$8))-MAX(12*(E$4-1),RentRoll!$R$8))+RentRoll!$L$8*MAX(0,12*E$4-MAX(12*(E$4-1),IF(RentRoll!$K$8="",99999,RentRoll!$K$8),RentRoll!$R$8)))/12</f>
        <v>80340</v>
      </c>
      <c r="F11" s="71" t="n">
        <f aca="false">RentRoll!$H$8*RentRoll!$P$8*(1+RentRoll!$Q$8)^(F$4-1)*(MAX(0,MIN(12*F$4,IF(RentRoll!$K$8="",99999,RentRoll!$K$8))-MAX(12*(F$4-1),RentRoll!$R$8))+RentRoll!$L$8*MAX(0,12*F$4-MAX(12*(F$4-1),IF(RentRoll!$K$8="",99999,RentRoll!$K$8),RentRoll!$R$8)))/12</f>
        <v>82750.2</v>
      </c>
      <c r="G11" s="71" t="n">
        <f aca="false">RentRoll!$H$8*RentRoll!$P$8*(1+RentRoll!$Q$8)^(G$4-1)*(MAX(0,MIN(12*G$4,IF(RentRoll!$K$8="",99999,RentRoll!$K$8))-MAX(12*(G$4-1),RentRoll!$R$8))+RentRoll!$L$8*MAX(0,12*G$4-MAX(12*(G$4-1),IF(RentRoll!$K$8="",99999,RentRoll!$K$8),RentRoll!$R$8)))/12</f>
        <v>85232.706</v>
      </c>
      <c r="H11" s="71" t="n">
        <f aca="false">RentRoll!$H$8*RentRoll!$P$8*(1+RentRoll!$Q$8)^(H$4-1)*(MAX(0,MIN(12*H$4,IF(RentRoll!$K$8="",99999,RentRoll!$K$8))-MAX(12*(H$4-1),RentRoll!$R$8))+RentRoll!$L$8*MAX(0,12*H$4-MAX(12*(H$4-1),IF(RentRoll!$K$8="",99999,RentRoll!$K$8),RentRoll!$R$8)))/12</f>
        <v>87789.68718</v>
      </c>
      <c r="I11" s="71" t="n">
        <f aca="false">RentRoll!$H$8*RentRoll!$P$8*(1+RentRoll!$Q$8)^(I$4-1)*(MAX(0,MIN(12*I$4,IF(RentRoll!$K$8="",99999,RentRoll!$K$8))-MAX(12*(I$4-1),RentRoll!$R$8))+RentRoll!$L$8*MAX(0,12*I$4-MAX(12*(I$4-1),IF(RentRoll!$K$8="",99999,RentRoll!$K$8),RentRoll!$R$8)))/12</f>
        <v>90423.3777954</v>
      </c>
      <c r="J11" s="71" t="n">
        <f aca="false">RentRoll!$H$8*RentRoll!$P$8*(1+RentRoll!$Q$8)^(J$4-1)*(MAX(0,MIN(12*J$4,IF(RentRoll!$K$8="",99999,RentRoll!$K$8))-MAX(12*(J$4-1),RentRoll!$R$8))+RentRoll!$L$8*MAX(0,12*J$4-MAX(12*(J$4-1),IF(RentRoll!$K$8="",99999,RentRoll!$K$8),RentRoll!$R$8)))/12</f>
        <v>93136.079129262</v>
      </c>
      <c r="K11" s="71" t="n">
        <f aca="false">RentRoll!$H$8*RentRoll!$P$8*(1+RentRoll!$Q$8)^(K$4-1)*(MAX(0,MIN(12*K$4,IF(RentRoll!$K$8="",99999,RentRoll!$K$8))-MAX(12*(K$4-1),RentRoll!$R$8))+RentRoll!$L$8*MAX(0,12*K$4-MAX(12*(K$4-1),IF(RentRoll!$K$8="",99999,RentRoll!$K$8),RentRoll!$R$8)))/12</f>
        <v>95930.1615031399</v>
      </c>
      <c r="L11" s="71" t="n">
        <f aca="false">RentRoll!$H$8*RentRoll!$P$8*(1+RentRoll!$Q$8)^(L$4-1)*(MAX(0,MIN(12*L$4,IF(RentRoll!$K$8="",99999,RentRoll!$K$8))-MAX(12*(L$4-1),RentRoll!$R$8))+RentRoll!$L$8*MAX(0,12*L$4-MAX(12*(L$4-1),IF(RentRoll!$K$8="",99999,RentRoll!$K$8),RentRoll!$R$8)))/12</f>
        <v>98808.0663482341</v>
      </c>
      <c r="M11" s="71" t="n">
        <f aca="false">RentRoll!$H$8*RentRoll!$P$8*(1+RentRoll!$Q$8)^(M$4-1)*(MAX(0,MIN(12*M$4,IF(RentRoll!$K$8="",99999,RentRoll!$K$8))-MAX(12*(M$4-1),RentRoll!$R$8))+RentRoll!$L$8*MAX(0,12*M$4-MAX(12*(M$4-1),IF(RentRoll!$K$8="",99999,RentRoll!$K$8),RentRoll!$R$8)))/12</f>
        <v>101772.308338681</v>
      </c>
      <c r="N11" s="71" t="n">
        <f aca="false">RentRoll!$H$8*RentRoll!$P$8*(1+RentRoll!$Q$8)^(N$4-1)*(MAX(0,MIN(12*N$4,IF(RentRoll!$K$8="",99999,RentRoll!$K$8))-MAX(12*(N$4-1),RentRoll!$R$8))+RentRoll!$L$8*MAX(0,12*N$4-MAX(12*(N$4-1),IF(RentRoll!$K$8="",99999,RentRoll!$K$8),RentRoll!$R$8)))/12</f>
        <v>104825.477588842</v>
      </c>
    </row>
    <row r="12" customFormat="false" ht="15" hidden="false" customHeight="false" outlineLevel="0" collapsed="false">
      <c r="A12" s="91" t="str">
        <f aca="false">RentRoll!B9</f>
        <v>Big Dawgs (repo)</v>
      </c>
      <c r="D12" s="71" t="n">
        <f aca="false">RentRoll!$H$9*RentRoll!$P$9*(1+RentRoll!$Q$9)^(D$4-1)*(MAX(0,MIN(12*D$4,IF(RentRoll!$K$9="",99999,RentRoll!$K$9))-MAX(12*(D$4-1),RentRoll!$R$9))+RentRoll!$L$9*MAX(0,12*D$4-MAX(12*(D$4-1),IF(RentRoll!$K$9="",99999,RentRoll!$K$9),RentRoll!$R$9)))/12</f>
        <v>48000</v>
      </c>
      <c r="E12" s="71" t="n">
        <f aca="false">RentRoll!$H$9*RentRoll!$P$9*(1+RentRoll!$Q$9)^(E$4-1)*(MAX(0,MIN(12*E$4,IF(RentRoll!$K$9="",99999,RentRoll!$K$9))-MAX(12*(E$4-1),RentRoll!$R$9))+RentRoll!$L$9*MAX(0,12*E$4-MAX(12*(E$4-1),IF(RentRoll!$K$9="",99999,RentRoll!$K$9),RentRoll!$R$9)))/12</f>
        <v>49440</v>
      </c>
      <c r="F12" s="71" t="n">
        <f aca="false">RentRoll!$H$9*RentRoll!$P$9*(1+RentRoll!$Q$9)^(F$4-1)*(MAX(0,MIN(12*F$4,IF(RentRoll!$K$9="",99999,RentRoll!$K$9))-MAX(12*(F$4-1),RentRoll!$R$9))+RentRoll!$L$9*MAX(0,12*F$4-MAX(12*(F$4-1),IF(RentRoll!$K$9="",99999,RentRoll!$K$9),RentRoll!$R$9)))/12</f>
        <v>50923.2</v>
      </c>
      <c r="G12" s="71" t="n">
        <f aca="false">RentRoll!$H$9*RentRoll!$P$9*(1+RentRoll!$Q$9)^(G$4-1)*(MAX(0,MIN(12*G$4,IF(RentRoll!$K$9="",99999,RentRoll!$K$9))-MAX(12*(G$4-1),RentRoll!$R$9))+RentRoll!$L$9*MAX(0,12*G$4-MAX(12*(G$4-1),IF(RentRoll!$K$9="",99999,RentRoll!$K$9),RentRoll!$R$9)))/12</f>
        <v>52450.896</v>
      </c>
      <c r="H12" s="71" t="n">
        <f aca="false">RentRoll!$H$9*RentRoll!$P$9*(1+RentRoll!$Q$9)^(H$4-1)*(MAX(0,MIN(12*H$4,IF(RentRoll!$K$9="",99999,RentRoll!$K$9))-MAX(12*(H$4-1),RentRoll!$R$9))+RentRoll!$L$9*MAX(0,12*H$4-MAX(12*(H$4-1),IF(RentRoll!$K$9="",99999,RentRoll!$K$9),RentRoll!$R$9)))/12</f>
        <v>54024.42288</v>
      </c>
      <c r="I12" s="71" t="n">
        <f aca="false">RentRoll!$H$9*RentRoll!$P$9*(1+RentRoll!$Q$9)^(I$4-1)*(MAX(0,MIN(12*I$4,IF(RentRoll!$K$9="",99999,RentRoll!$K$9))-MAX(12*(I$4-1),RentRoll!$R$9))+RentRoll!$L$9*MAX(0,12*I$4-MAX(12*(I$4-1),IF(RentRoll!$K$9="",99999,RentRoll!$K$9),RentRoll!$R$9)))/12</f>
        <v>55645.1555664</v>
      </c>
      <c r="J12" s="71" t="n">
        <f aca="false">RentRoll!$H$9*RentRoll!$P$9*(1+RentRoll!$Q$9)^(J$4-1)*(MAX(0,MIN(12*J$4,IF(RentRoll!$K$9="",99999,RentRoll!$K$9))-MAX(12*(J$4-1),RentRoll!$R$9))+RentRoll!$L$9*MAX(0,12*J$4-MAX(12*(J$4-1),IF(RentRoll!$K$9="",99999,RentRoll!$K$9),RentRoll!$R$9)))/12</f>
        <v>57314.510233392</v>
      </c>
      <c r="K12" s="71" t="n">
        <f aca="false">RentRoll!$H$9*RentRoll!$P$9*(1+RentRoll!$Q$9)^(K$4-1)*(MAX(0,MIN(12*K$4,IF(RentRoll!$K$9="",99999,RentRoll!$K$9))-MAX(12*(K$4-1),RentRoll!$R$9))+RentRoll!$L$9*MAX(0,12*K$4-MAX(12*(K$4-1),IF(RentRoll!$K$9="",99999,RentRoll!$K$9),RentRoll!$R$9)))/12</f>
        <v>59033.9455403938</v>
      </c>
      <c r="L12" s="71" t="n">
        <f aca="false">RentRoll!$H$9*RentRoll!$P$9*(1+RentRoll!$Q$9)^(L$4-1)*(MAX(0,MIN(12*L$4,IF(RentRoll!$K$9="",99999,RentRoll!$K$9))-MAX(12*(L$4-1),RentRoll!$R$9))+RentRoll!$L$9*MAX(0,12*L$4-MAX(12*(L$4-1),IF(RentRoll!$K$9="",99999,RentRoll!$K$9),RentRoll!$R$9)))/12</f>
        <v>60804.9639066056</v>
      </c>
      <c r="M12" s="71" t="n">
        <f aca="false">RentRoll!$H$9*RentRoll!$P$9*(1+RentRoll!$Q$9)^(M$4-1)*(MAX(0,MIN(12*M$4,IF(RentRoll!$K$9="",99999,RentRoll!$K$9))-MAX(12*(M$4-1),RentRoll!$R$9))+RentRoll!$L$9*MAX(0,12*M$4-MAX(12*(M$4-1),IF(RentRoll!$K$9="",99999,RentRoll!$K$9),RentRoll!$R$9)))/12</f>
        <v>62629.1128238038</v>
      </c>
      <c r="N12" s="71" t="n">
        <f aca="false">RentRoll!$H$9*RentRoll!$P$9*(1+RentRoll!$Q$9)^(N$4-1)*(MAX(0,MIN(12*N$4,IF(RentRoll!$K$9="",99999,RentRoll!$K$9))-MAX(12*(N$4-1),RentRoll!$R$9))+RentRoll!$L$9*MAX(0,12*N$4-MAX(12*(N$4-1),IF(RentRoll!$K$9="",99999,RentRoll!$K$9),RentRoll!$R$9)))/12</f>
        <v>64507.9862085179</v>
      </c>
    </row>
    <row r="13" customFormat="false" ht="15" hidden="false" customHeight="false" outlineLevel="0" collapsed="false">
      <c r="A13" s="91" t="str">
        <f aca="false">RentRoll!B10</f>
        <v>Individual tenants (various)</v>
      </c>
      <c r="D13" s="71" t="n">
        <f aca="false">RentRoll!$H$10*RentRoll!$P$10*(1+RentRoll!$Q$10)^(D$4-1)*(MAX(0,MIN(12*D$4,IF(RentRoll!$K$10="",99999,RentRoll!$K$10))-MAX(12*(D$4-1),RentRoll!$R$10))+RentRoll!$L$10*MAX(0,12*D$4-MAX(12*(D$4-1),IF(RentRoll!$K$10="",99999,RentRoll!$K$10),RentRoll!$R$10)))/12</f>
        <v>25200</v>
      </c>
      <c r="E13" s="71" t="n">
        <f aca="false">RentRoll!$H$10*RentRoll!$P$10*(1+RentRoll!$Q$10)^(E$4-1)*(MAX(0,MIN(12*E$4,IF(RentRoll!$K$10="",99999,RentRoll!$K$10))-MAX(12*(E$4-1),RentRoll!$R$10))+RentRoll!$L$10*MAX(0,12*E$4-MAX(12*(E$4-1),IF(RentRoll!$K$10="",99999,RentRoll!$K$10),RentRoll!$R$10)))/12</f>
        <v>25956</v>
      </c>
      <c r="F13" s="71" t="n">
        <f aca="false">RentRoll!$H$10*RentRoll!$P$10*(1+RentRoll!$Q$10)^(F$4-1)*(MAX(0,MIN(12*F$4,IF(RentRoll!$K$10="",99999,RentRoll!$K$10))-MAX(12*(F$4-1),RentRoll!$R$10))+RentRoll!$L$10*MAX(0,12*F$4-MAX(12*(F$4-1),IF(RentRoll!$K$10="",99999,RentRoll!$K$10),RentRoll!$R$10)))/12</f>
        <v>26734.68</v>
      </c>
      <c r="G13" s="71" t="n">
        <f aca="false">RentRoll!$H$10*RentRoll!$P$10*(1+RentRoll!$Q$10)^(G$4-1)*(MAX(0,MIN(12*G$4,IF(RentRoll!$K$10="",99999,RentRoll!$K$10))-MAX(12*(G$4-1),RentRoll!$R$10))+RentRoll!$L$10*MAX(0,12*G$4-MAX(12*(G$4-1),IF(RentRoll!$K$10="",99999,RentRoll!$K$10),RentRoll!$R$10)))/12</f>
        <v>27536.7204</v>
      </c>
      <c r="H13" s="71" t="n">
        <f aca="false">RentRoll!$H$10*RentRoll!$P$10*(1+RentRoll!$Q$10)^(H$4-1)*(MAX(0,MIN(12*H$4,IF(RentRoll!$K$10="",99999,RentRoll!$K$10))-MAX(12*(H$4-1),RentRoll!$R$10))+RentRoll!$L$10*MAX(0,12*H$4-MAX(12*(H$4-1),IF(RentRoll!$K$10="",99999,RentRoll!$K$10),RentRoll!$R$10)))/12</f>
        <v>28362.822012</v>
      </c>
      <c r="I13" s="71" t="n">
        <f aca="false">RentRoll!$H$10*RentRoll!$P$10*(1+RentRoll!$Q$10)^(I$4-1)*(MAX(0,MIN(12*I$4,IF(RentRoll!$K$10="",99999,RentRoll!$K$10))-MAX(12*(I$4-1),RentRoll!$R$10))+RentRoll!$L$10*MAX(0,12*I$4-MAX(12*(I$4-1),IF(RentRoll!$K$10="",99999,RentRoll!$K$10),RentRoll!$R$10)))/12</f>
        <v>29213.70667236</v>
      </c>
      <c r="J13" s="71" t="n">
        <f aca="false">RentRoll!$H$10*RentRoll!$P$10*(1+RentRoll!$Q$10)^(J$4-1)*(MAX(0,MIN(12*J$4,IF(RentRoll!$K$10="",99999,RentRoll!$K$10))-MAX(12*(J$4-1),RentRoll!$R$10))+RentRoll!$L$10*MAX(0,12*J$4-MAX(12*(J$4-1),IF(RentRoll!$K$10="",99999,RentRoll!$K$10),RentRoll!$R$10)))/12</f>
        <v>30090.1178725308</v>
      </c>
      <c r="K13" s="71" t="n">
        <f aca="false">RentRoll!$H$10*RentRoll!$P$10*(1+RentRoll!$Q$10)^(K$4-1)*(MAX(0,MIN(12*K$4,IF(RentRoll!$K$10="",99999,RentRoll!$K$10))-MAX(12*(K$4-1),RentRoll!$R$10))+RentRoll!$L$10*MAX(0,12*K$4-MAX(12*(K$4-1),IF(RentRoll!$K$10="",99999,RentRoll!$K$10),RentRoll!$R$10)))/12</f>
        <v>30992.8214087067</v>
      </c>
      <c r="L13" s="71" t="n">
        <f aca="false">RentRoll!$H$10*RentRoll!$P$10*(1+RentRoll!$Q$10)^(L$4-1)*(MAX(0,MIN(12*L$4,IF(RentRoll!$K$10="",99999,RentRoll!$K$10))-MAX(12*(L$4-1),RentRoll!$R$10))+RentRoll!$L$10*MAX(0,12*L$4-MAX(12*(L$4-1),IF(RentRoll!$K$10="",99999,RentRoll!$K$10),RentRoll!$R$10)))/12</f>
        <v>31922.6060509679</v>
      </c>
      <c r="M13" s="71" t="n">
        <f aca="false">RentRoll!$H$10*RentRoll!$P$10*(1+RentRoll!$Q$10)^(M$4-1)*(MAX(0,MIN(12*M$4,IF(RentRoll!$K$10="",99999,RentRoll!$K$10))-MAX(12*(M$4-1),RentRoll!$R$10))+RentRoll!$L$10*MAX(0,12*M$4-MAX(12*(M$4-1),IF(RentRoll!$K$10="",99999,RentRoll!$K$10),RentRoll!$R$10)))/12</f>
        <v>32880.284232497</v>
      </c>
      <c r="N13" s="71" t="n">
        <f aca="false">RentRoll!$H$10*RentRoll!$P$10*(1+RentRoll!$Q$10)^(N$4-1)*(MAX(0,MIN(12*N$4,IF(RentRoll!$K$10="",99999,RentRoll!$K$10))-MAX(12*(N$4-1),RentRoll!$R$10))+RentRoll!$L$10*MAX(0,12*N$4-MAX(12*(N$4-1),IF(RentRoll!$K$10="",99999,RentRoll!$K$10),RentRoll!$R$10)))/12</f>
        <v>33866.6927594719</v>
      </c>
    </row>
    <row r="14" customFormat="false" ht="15" hidden="false" customHeight="false" outlineLevel="0" collapsed="false">
      <c r="A14" s="91" t="str">
        <f aca="false">RentRoll!B11</f>
        <v>CDL driver training</v>
      </c>
      <c r="D14" s="71" t="n">
        <f aca="false">RentRoll!$H$11*RentRoll!$P$11*(1+RentRoll!$Q$11)^(D$4-1)*(MAX(0,MIN(12*D$4,IF(RentRoll!$K$11="",99999,RentRoll!$K$11))-MAX(12*(D$4-1),RentRoll!$R$11))+RentRoll!$L$11*MAX(0,12*D$4-MAX(12*(D$4-1),IF(RentRoll!$K$11="",99999,RentRoll!$K$11),RentRoll!$R$11)))/12</f>
        <v>18000</v>
      </c>
      <c r="E14" s="71" t="n">
        <f aca="false">RentRoll!$H$11*RentRoll!$P$11*(1+RentRoll!$Q$11)^(E$4-1)*(MAX(0,MIN(12*E$4,IF(RentRoll!$K$11="",99999,RentRoll!$K$11))-MAX(12*(E$4-1),RentRoll!$R$11))+RentRoll!$L$11*MAX(0,12*E$4-MAX(12*(E$4-1),IF(RentRoll!$K$11="",99999,RentRoll!$K$11),RentRoll!$R$11)))/12</f>
        <v>18540</v>
      </c>
      <c r="F14" s="71" t="n">
        <f aca="false">RentRoll!$H$11*RentRoll!$P$11*(1+RentRoll!$Q$11)^(F$4-1)*(MAX(0,MIN(12*F$4,IF(RentRoll!$K$11="",99999,RentRoll!$K$11))-MAX(12*(F$4-1),RentRoll!$R$11))+RentRoll!$L$11*MAX(0,12*F$4-MAX(12*(F$4-1),IF(RentRoll!$K$11="",99999,RentRoll!$K$11),RentRoll!$R$11)))/12</f>
        <v>19096.2</v>
      </c>
      <c r="G14" s="71" t="n">
        <f aca="false">RentRoll!$H$11*RentRoll!$P$11*(1+RentRoll!$Q$11)^(G$4-1)*(MAX(0,MIN(12*G$4,IF(RentRoll!$K$11="",99999,RentRoll!$K$11))-MAX(12*(G$4-1),RentRoll!$R$11))+RentRoll!$L$11*MAX(0,12*G$4-MAX(12*(G$4-1),IF(RentRoll!$K$11="",99999,RentRoll!$K$11),RentRoll!$R$11)))/12</f>
        <v>19669.086</v>
      </c>
      <c r="H14" s="71" t="n">
        <f aca="false">RentRoll!$H$11*RentRoll!$P$11*(1+RentRoll!$Q$11)^(H$4-1)*(MAX(0,MIN(12*H$4,IF(RentRoll!$K$11="",99999,RentRoll!$K$11))-MAX(12*(H$4-1),RentRoll!$R$11))+RentRoll!$L$11*MAX(0,12*H$4-MAX(12*(H$4-1),IF(RentRoll!$K$11="",99999,RentRoll!$K$11),RentRoll!$R$11)))/12</f>
        <v>20259.15858</v>
      </c>
      <c r="I14" s="71" t="n">
        <f aca="false">RentRoll!$H$11*RentRoll!$P$11*(1+RentRoll!$Q$11)^(I$4-1)*(MAX(0,MIN(12*I$4,IF(RentRoll!$K$11="",99999,RentRoll!$K$11))-MAX(12*(I$4-1),RentRoll!$R$11))+RentRoll!$L$11*MAX(0,12*I$4-MAX(12*(I$4-1),IF(RentRoll!$K$11="",99999,RentRoll!$K$11),RentRoll!$R$11)))/12</f>
        <v>20866.9333374</v>
      </c>
      <c r="J14" s="71" t="n">
        <f aca="false">RentRoll!$H$11*RentRoll!$P$11*(1+RentRoll!$Q$11)^(J$4-1)*(MAX(0,MIN(12*J$4,IF(RentRoll!$K$11="",99999,RentRoll!$K$11))-MAX(12*(J$4-1),RentRoll!$R$11))+RentRoll!$L$11*MAX(0,12*J$4-MAX(12*(J$4-1),IF(RentRoll!$K$11="",99999,RentRoll!$K$11),RentRoll!$R$11)))/12</f>
        <v>21492.941337522</v>
      </c>
      <c r="K14" s="71" t="n">
        <f aca="false">RentRoll!$H$11*RentRoll!$P$11*(1+RentRoll!$Q$11)^(K$4-1)*(MAX(0,MIN(12*K$4,IF(RentRoll!$K$11="",99999,RentRoll!$K$11))-MAX(12*(K$4-1),RentRoll!$R$11))+RentRoll!$L$11*MAX(0,12*K$4-MAX(12*(K$4-1),IF(RentRoll!$K$11="",99999,RentRoll!$K$11),RentRoll!$R$11)))/12</f>
        <v>22137.7295776477</v>
      </c>
      <c r="L14" s="71" t="n">
        <f aca="false">RentRoll!$H$11*RentRoll!$P$11*(1+RentRoll!$Q$11)^(L$4-1)*(MAX(0,MIN(12*L$4,IF(RentRoll!$K$11="",99999,RentRoll!$K$11))-MAX(12*(L$4-1),RentRoll!$R$11))+RentRoll!$L$11*MAX(0,12*L$4-MAX(12*(L$4-1),IF(RentRoll!$K$11="",99999,RentRoll!$K$11),RentRoll!$R$11)))/12</f>
        <v>22801.8614649771</v>
      </c>
      <c r="M14" s="71" t="n">
        <f aca="false">RentRoll!$H$11*RentRoll!$P$11*(1+RentRoll!$Q$11)^(M$4-1)*(MAX(0,MIN(12*M$4,IF(RentRoll!$K$11="",99999,RentRoll!$K$11))-MAX(12*(M$4-1),RentRoll!$R$11))+RentRoll!$L$11*MAX(0,12*M$4-MAX(12*(M$4-1),IF(RentRoll!$K$11="",99999,RentRoll!$K$11),RentRoll!$R$11)))/12</f>
        <v>23485.9173089264</v>
      </c>
      <c r="N14" s="71" t="n">
        <f aca="false">RentRoll!$H$11*RentRoll!$P$11*(1+RentRoll!$Q$11)^(N$4-1)*(MAX(0,MIN(12*N$4,IF(RentRoll!$K$11="",99999,RentRoll!$K$11))-MAX(12*(N$4-1),RentRoll!$R$11))+RentRoll!$L$11*MAX(0,12*N$4-MAX(12*(N$4-1),IF(RentRoll!$K$11="",99999,RentRoll!$K$11),RentRoll!$R$11)))/12</f>
        <v>24190.4948281942</v>
      </c>
    </row>
    <row r="15" customFormat="false" ht="15" hidden="false" customHeight="false" outlineLevel="0" collapsed="false">
      <c r="A15" s="91" t="str">
        <f aca="false">RentRoll!B12</f>
        <v>Alamo Fireworks</v>
      </c>
      <c r="D15" s="71" t="n">
        <f aca="false">RentRoll!$H$12*RentRoll!$P$12*(1+RentRoll!$Q$12)^(D$4-1)*(MAX(0,MIN(12*D$4,IF(RentRoll!$K$12="",99999,RentRoll!$K$12))-MAX(12*(D$4-1),RentRoll!$R$12))+RentRoll!$L$12*MAX(0,12*D$4-MAX(12*(D$4-1),IF(RentRoll!$K$12="",99999,RentRoll!$K$12),RentRoll!$R$12)))/12</f>
        <v>8000</v>
      </c>
      <c r="E15" s="71" t="n">
        <f aca="false">RentRoll!$H$12*RentRoll!$P$12*(1+RentRoll!$Q$12)^(E$4-1)*(MAX(0,MIN(12*E$4,IF(RentRoll!$K$12="",99999,RentRoll!$K$12))-MAX(12*(E$4-1),RentRoll!$R$12))+RentRoll!$L$12*MAX(0,12*E$4-MAX(12*(E$4-1),IF(RentRoll!$K$12="",99999,RentRoll!$K$12),RentRoll!$R$12)))/12</f>
        <v>8240</v>
      </c>
      <c r="F15" s="71" t="n">
        <f aca="false">RentRoll!$H$12*RentRoll!$P$12*(1+RentRoll!$Q$12)^(F$4-1)*(MAX(0,MIN(12*F$4,IF(RentRoll!$K$12="",99999,RentRoll!$K$12))-MAX(12*(F$4-1),RentRoll!$R$12))+RentRoll!$L$12*MAX(0,12*F$4-MAX(12*(F$4-1),IF(RentRoll!$K$12="",99999,RentRoll!$K$12),RentRoll!$R$12)))/12</f>
        <v>8487.2</v>
      </c>
      <c r="G15" s="71" t="n">
        <f aca="false">RentRoll!$H$12*RentRoll!$P$12*(1+RentRoll!$Q$12)^(G$4-1)*(MAX(0,MIN(12*G$4,IF(RentRoll!$K$12="",99999,RentRoll!$K$12))-MAX(12*(G$4-1),RentRoll!$R$12))+RentRoll!$L$12*MAX(0,12*G$4-MAX(12*(G$4-1),IF(RentRoll!$K$12="",99999,RentRoll!$K$12),RentRoll!$R$12)))/12</f>
        <v>8741.816</v>
      </c>
      <c r="H15" s="71" t="n">
        <f aca="false">RentRoll!$H$12*RentRoll!$P$12*(1+RentRoll!$Q$12)^(H$4-1)*(MAX(0,MIN(12*H$4,IF(RentRoll!$K$12="",99999,RentRoll!$K$12))-MAX(12*(H$4-1),RentRoll!$R$12))+RentRoll!$L$12*MAX(0,12*H$4-MAX(12*(H$4-1),IF(RentRoll!$K$12="",99999,RentRoll!$K$12),RentRoll!$R$12)))/12</f>
        <v>9004.07048</v>
      </c>
      <c r="I15" s="71" t="n">
        <f aca="false">RentRoll!$H$12*RentRoll!$P$12*(1+RentRoll!$Q$12)^(I$4-1)*(MAX(0,MIN(12*I$4,IF(RentRoll!$K$12="",99999,RentRoll!$K$12))-MAX(12*(I$4-1),RentRoll!$R$12))+RentRoll!$L$12*MAX(0,12*I$4-MAX(12*(I$4-1),IF(RentRoll!$K$12="",99999,RentRoll!$K$12),RentRoll!$R$12)))/12</f>
        <v>9274.1925944</v>
      </c>
      <c r="J15" s="71" t="n">
        <f aca="false">RentRoll!$H$12*RentRoll!$P$12*(1+RentRoll!$Q$12)^(J$4-1)*(MAX(0,MIN(12*J$4,IF(RentRoll!$K$12="",99999,RentRoll!$K$12))-MAX(12*(J$4-1),RentRoll!$R$12))+RentRoll!$L$12*MAX(0,12*J$4-MAX(12*(J$4-1),IF(RentRoll!$K$12="",99999,RentRoll!$K$12),RentRoll!$R$12)))/12</f>
        <v>9552.418372232</v>
      </c>
      <c r="K15" s="71" t="n">
        <f aca="false">RentRoll!$H$12*RentRoll!$P$12*(1+RentRoll!$Q$12)^(K$4-1)*(MAX(0,MIN(12*K$4,IF(RentRoll!$K$12="",99999,RentRoll!$K$12))-MAX(12*(K$4-1),RentRoll!$R$12))+RentRoll!$L$12*MAX(0,12*K$4-MAX(12*(K$4-1),IF(RentRoll!$K$12="",99999,RentRoll!$K$12),RentRoll!$R$12)))/12</f>
        <v>9838.99092339896</v>
      </c>
      <c r="L15" s="71" t="n">
        <f aca="false">RentRoll!$H$12*RentRoll!$P$12*(1+RentRoll!$Q$12)^(L$4-1)*(MAX(0,MIN(12*L$4,IF(RentRoll!$K$12="",99999,RentRoll!$K$12))-MAX(12*(L$4-1),RentRoll!$R$12))+RentRoll!$L$12*MAX(0,12*L$4-MAX(12*(L$4-1),IF(RentRoll!$K$12="",99999,RentRoll!$K$12),RentRoll!$R$12)))/12</f>
        <v>10134.1606511009</v>
      </c>
      <c r="M15" s="71" t="n">
        <f aca="false">RentRoll!$H$12*RentRoll!$P$12*(1+RentRoll!$Q$12)^(M$4-1)*(MAX(0,MIN(12*M$4,IF(RentRoll!$K$12="",99999,RentRoll!$K$12))-MAX(12*(M$4-1),RentRoll!$R$12))+RentRoll!$L$12*MAX(0,12*M$4-MAX(12*(M$4-1),IF(RentRoll!$K$12="",99999,RentRoll!$K$12),RentRoll!$R$12)))/12</f>
        <v>10438.185470634</v>
      </c>
      <c r="N15" s="71" t="n">
        <f aca="false">RentRoll!$H$12*RentRoll!$P$12*(1+RentRoll!$Q$12)^(N$4-1)*(MAX(0,MIN(12*N$4,IF(RentRoll!$K$12="",99999,RentRoll!$K$12))-MAX(12*(N$4-1),RentRoll!$R$12))+RentRoll!$L$12*MAX(0,12*N$4-MAX(12*(N$4-1),IF(RentRoll!$K$12="",99999,RentRoll!$K$12),RentRoll!$R$12)))/12</f>
        <v>10751.331034753</v>
      </c>
    </row>
    <row r="16" customFormat="false" ht="15" hidden="false" customHeight="false" outlineLevel="0" collapsed="false">
      <c r="A16" s="91" t="str">
        <f aca="false">RentRoll!B13</f>
        <v>Prime expansion (+1 ac)</v>
      </c>
      <c r="D16" s="71" t="n">
        <f aca="false">RentRoll!$H$13*RentRoll!$P$13*(1+RentRoll!$Q$13)^(D$4-1)*(MAX(0,MIN(12*D$4,IF(RentRoll!$K$13="",99999,RentRoll!$K$13))-MAX(12*(D$4-1),RentRoll!$R$13))+RentRoll!$L$13*MAX(0,12*D$4-MAX(12*(D$4-1),IF(RentRoll!$K$13="",99999,RentRoll!$K$13),RentRoll!$R$13)))/12</f>
        <v>31500</v>
      </c>
      <c r="E16" s="71" t="n">
        <f aca="false">RentRoll!$H$13*RentRoll!$P$13*(1+RentRoll!$Q$13)^(E$4-1)*(MAX(0,MIN(12*E$4,IF(RentRoll!$K$13="",99999,RentRoll!$K$13))-MAX(12*(E$4-1),RentRoll!$R$13))+RentRoll!$L$13*MAX(0,12*E$4-MAX(12*(E$4-1),IF(RentRoll!$K$13="",99999,RentRoll!$K$13),RentRoll!$R$13)))/12</f>
        <v>43260</v>
      </c>
      <c r="F16" s="71" t="n">
        <f aca="false">RentRoll!$H$13*RentRoll!$P$13*(1+RentRoll!$Q$13)^(F$4-1)*(MAX(0,MIN(12*F$4,IF(RentRoll!$K$13="",99999,RentRoll!$K$13))-MAX(12*(F$4-1),RentRoll!$R$13))+RentRoll!$L$13*MAX(0,12*F$4-MAX(12*(F$4-1),IF(RentRoll!$K$13="",99999,RentRoll!$K$13),RentRoll!$R$13)))/12</f>
        <v>44557.8</v>
      </c>
      <c r="G16" s="71" t="n">
        <f aca="false">RentRoll!$H$13*RentRoll!$P$13*(1+RentRoll!$Q$13)^(G$4-1)*(MAX(0,MIN(12*G$4,IF(RentRoll!$K$13="",99999,RentRoll!$K$13))-MAX(12*(G$4-1),RentRoll!$R$13))+RentRoll!$L$13*MAX(0,12*G$4-MAX(12*(G$4-1),IF(RentRoll!$K$13="",99999,RentRoll!$K$13),RentRoll!$R$13)))/12</f>
        <v>45894.534</v>
      </c>
      <c r="H16" s="71" t="n">
        <f aca="false">RentRoll!$H$13*RentRoll!$P$13*(1+RentRoll!$Q$13)^(H$4-1)*(MAX(0,MIN(12*H$4,IF(RentRoll!$K$13="",99999,RentRoll!$K$13))-MAX(12*(H$4-1),RentRoll!$R$13))+RentRoll!$L$13*MAX(0,12*H$4-MAX(12*(H$4-1),IF(RentRoll!$K$13="",99999,RentRoll!$K$13),RentRoll!$R$13)))/12</f>
        <v>47271.37002</v>
      </c>
      <c r="I16" s="71" t="n">
        <f aca="false">RentRoll!$H$13*RentRoll!$P$13*(1+RentRoll!$Q$13)^(I$4-1)*(MAX(0,MIN(12*I$4,IF(RentRoll!$K$13="",99999,RentRoll!$K$13))-MAX(12*(I$4-1),RentRoll!$R$13))+RentRoll!$L$13*MAX(0,12*I$4-MAX(12*(I$4-1),IF(RentRoll!$K$13="",99999,RentRoll!$K$13),RentRoll!$R$13)))/12</f>
        <v>48689.5111206</v>
      </c>
      <c r="J16" s="71" t="n">
        <f aca="false">RentRoll!$H$13*RentRoll!$P$13*(1+RentRoll!$Q$13)^(J$4-1)*(MAX(0,MIN(12*J$4,IF(RentRoll!$K$13="",99999,RentRoll!$K$13))-MAX(12*(J$4-1),RentRoll!$R$13))+RentRoll!$L$13*MAX(0,12*J$4-MAX(12*(J$4-1),IF(RentRoll!$K$13="",99999,RentRoll!$K$13),RentRoll!$R$13)))/12</f>
        <v>50150.196454218</v>
      </c>
      <c r="K16" s="71" t="n">
        <f aca="false">RentRoll!$H$13*RentRoll!$P$13*(1+RentRoll!$Q$13)^(K$4-1)*(MAX(0,MIN(12*K$4,IF(RentRoll!$K$13="",99999,RentRoll!$K$13))-MAX(12*(K$4-1),RentRoll!$R$13))+RentRoll!$L$13*MAX(0,12*K$4-MAX(12*(K$4-1),IF(RentRoll!$K$13="",99999,RentRoll!$K$13),RentRoll!$R$13)))/12</f>
        <v>51654.7023478446</v>
      </c>
      <c r="L16" s="71" t="n">
        <f aca="false">RentRoll!$H$13*RentRoll!$P$13*(1+RentRoll!$Q$13)^(L$4-1)*(MAX(0,MIN(12*L$4,IF(RentRoll!$K$13="",99999,RentRoll!$K$13))-MAX(12*(L$4-1),RentRoll!$R$13))+RentRoll!$L$13*MAX(0,12*L$4-MAX(12*(L$4-1),IF(RentRoll!$K$13="",99999,RentRoll!$K$13),RentRoll!$R$13)))/12</f>
        <v>53204.3434182799</v>
      </c>
      <c r="M16" s="71" t="n">
        <f aca="false">RentRoll!$H$13*RentRoll!$P$13*(1+RentRoll!$Q$13)^(M$4-1)*(MAX(0,MIN(12*M$4,IF(RentRoll!$K$13="",99999,RentRoll!$K$13))-MAX(12*(M$4-1),RentRoll!$R$13))+RentRoll!$L$13*MAX(0,12*M$4-MAX(12*(M$4-1),IF(RentRoll!$K$13="",99999,RentRoll!$K$13),RentRoll!$R$13)))/12</f>
        <v>54800.4737208283</v>
      </c>
      <c r="N16" s="71" t="n">
        <f aca="false">RentRoll!$H$13*RentRoll!$P$13*(1+RentRoll!$Q$13)^(N$4-1)*(MAX(0,MIN(12*N$4,IF(RentRoll!$K$13="",99999,RentRoll!$K$13))-MAX(12*(N$4-1),RentRoll!$R$13))+RentRoll!$L$13*MAX(0,12*N$4-MAX(12*(N$4-1),IF(RentRoll!$K$13="",99999,RentRoll!$K$13),RentRoll!$R$13)))/12</f>
        <v>56444.4879324531</v>
      </c>
    </row>
    <row r="17" customFormat="false" ht="15" hidden="false" customHeight="false" outlineLevel="0" collapsed="false">
      <c r="A17" s="91" t="str">
        <f aca="false">RentRoll!B14</f>
        <v>Straight 6 expansion (~10 spots)</v>
      </c>
      <c r="D17" s="71" t="n">
        <f aca="false">RentRoll!$H$14*RentRoll!$P$14*(1+RentRoll!$Q$14)^(D$4-1)*(MAX(0,MIN(12*D$4,IF(RentRoll!$K$14="",99999,RentRoll!$K$14))-MAX(12*(D$4-1),RentRoll!$R$14))+RentRoll!$L$14*MAX(0,12*D$4-MAX(12*(D$4-1),IF(RentRoll!$K$14="",99999,RentRoll!$K$14),RentRoll!$R$14)))/12</f>
        <v>9000</v>
      </c>
      <c r="E17" s="71" t="n">
        <f aca="false">RentRoll!$H$14*RentRoll!$P$14*(1+RentRoll!$Q$14)^(E$4-1)*(MAX(0,MIN(12*E$4,IF(RentRoll!$K$14="",99999,RentRoll!$K$14))-MAX(12*(E$4-1),RentRoll!$R$14))+RentRoll!$L$14*MAX(0,12*E$4-MAX(12*(E$4-1),IF(RentRoll!$K$14="",99999,RentRoll!$K$14),RentRoll!$R$14)))/12</f>
        <v>12360</v>
      </c>
      <c r="F17" s="71" t="n">
        <f aca="false">RentRoll!$H$14*RentRoll!$P$14*(1+RentRoll!$Q$14)^(F$4-1)*(MAX(0,MIN(12*F$4,IF(RentRoll!$K$14="",99999,RentRoll!$K$14))-MAX(12*(F$4-1),RentRoll!$R$14))+RentRoll!$L$14*MAX(0,12*F$4-MAX(12*(F$4-1),IF(RentRoll!$K$14="",99999,RentRoll!$K$14),RentRoll!$R$14)))/12</f>
        <v>12730.8</v>
      </c>
      <c r="G17" s="71" t="n">
        <f aca="false">RentRoll!$H$14*RentRoll!$P$14*(1+RentRoll!$Q$14)^(G$4-1)*(MAX(0,MIN(12*G$4,IF(RentRoll!$K$14="",99999,RentRoll!$K$14))-MAX(12*(G$4-1),RentRoll!$R$14))+RentRoll!$L$14*MAX(0,12*G$4-MAX(12*(G$4-1),IF(RentRoll!$K$14="",99999,RentRoll!$K$14),RentRoll!$R$14)))/12</f>
        <v>13112.724</v>
      </c>
      <c r="H17" s="71" t="n">
        <f aca="false">RentRoll!$H$14*RentRoll!$P$14*(1+RentRoll!$Q$14)^(H$4-1)*(MAX(0,MIN(12*H$4,IF(RentRoll!$K$14="",99999,RentRoll!$K$14))-MAX(12*(H$4-1),RentRoll!$R$14))+RentRoll!$L$14*MAX(0,12*H$4-MAX(12*(H$4-1),IF(RentRoll!$K$14="",99999,RentRoll!$K$14),RentRoll!$R$14)))/12</f>
        <v>13506.10572</v>
      </c>
      <c r="I17" s="71" t="n">
        <f aca="false">RentRoll!$H$14*RentRoll!$P$14*(1+RentRoll!$Q$14)^(I$4-1)*(MAX(0,MIN(12*I$4,IF(RentRoll!$K$14="",99999,RentRoll!$K$14))-MAX(12*(I$4-1),RentRoll!$R$14))+RentRoll!$L$14*MAX(0,12*I$4-MAX(12*(I$4-1),IF(RentRoll!$K$14="",99999,RentRoll!$K$14),RentRoll!$R$14)))/12</f>
        <v>13911.2888916</v>
      </c>
      <c r="J17" s="71" t="n">
        <f aca="false">RentRoll!$H$14*RentRoll!$P$14*(1+RentRoll!$Q$14)^(J$4-1)*(MAX(0,MIN(12*J$4,IF(RentRoll!$K$14="",99999,RentRoll!$K$14))-MAX(12*(J$4-1),RentRoll!$R$14))+RentRoll!$L$14*MAX(0,12*J$4-MAX(12*(J$4-1),IF(RentRoll!$K$14="",99999,RentRoll!$K$14),RentRoll!$R$14)))/12</f>
        <v>14328.627558348</v>
      </c>
      <c r="K17" s="71" t="n">
        <f aca="false">RentRoll!$H$14*RentRoll!$P$14*(1+RentRoll!$Q$14)^(K$4-1)*(MAX(0,MIN(12*K$4,IF(RentRoll!$K$14="",99999,RentRoll!$K$14))-MAX(12*(K$4-1),RentRoll!$R$14))+RentRoll!$L$14*MAX(0,12*K$4-MAX(12*(K$4-1),IF(RentRoll!$K$14="",99999,RentRoll!$K$14),RentRoll!$R$14)))/12</f>
        <v>14758.4863850984</v>
      </c>
      <c r="L17" s="71" t="n">
        <f aca="false">RentRoll!$H$14*RentRoll!$P$14*(1+RentRoll!$Q$14)^(L$4-1)*(MAX(0,MIN(12*L$4,IF(RentRoll!$K$14="",99999,RentRoll!$K$14))-MAX(12*(L$4-1),RentRoll!$R$14))+RentRoll!$L$14*MAX(0,12*L$4-MAX(12*(L$4-1),IF(RentRoll!$K$14="",99999,RentRoll!$K$14),RentRoll!$R$14)))/12</f>
        <v>15201.2409766514</v>
      </c>
      <c r="M17" s="71" t="n">
        <f aca="false">RentRoll!$H$14*RentRoll!$P$14*(1+RentRoll!$Q$14)^(M$4-1)*(MAX(0,MIN(12*M$4,IF(RentRoll!$K$14="",99999,RentRoll!$K$14))-MAX(12*(M$4-1),RentRoll!$R$14))+RentRoll!$L$14*MAX(0,12*M$4-MAX(12*(M$4-1),IF(RentRoll!$K$14="",99999,RentRoll!$K$14),RentRoll!$R$14)))/12</f>
        <v>15657.2782059509</v>
      </c>
      <c r="N17" s="71" t="n">
        <f aca="false">RentRoll!$H$14*RentRoll!$P$14*(1+RentRoll!$Q$14)^(N$4-1)*(MAX(0,MIN(12*N$4,IF(RentRoll!$K$14="",99999,RentRoll!$K$14))-MAX(12*(N$4-1),RentRoll!$R$14))+RentRoll!$L$14*MAX(0,12*N$4-MAX(12*(N$4-1),IF(RentRoll!$K$14="",99999,RentRoll!$K$14),RentRoll!$R$14)))/12</f>
        <v>16126.9965521295</v>
      </c>
    </row>
    <row r="18" customFormat="false" ht="15" hidden="false" customHeight="false" outlineLevel="0" collapsed="false">
      <c r="A18" s="91" t="str">
        <f aca="false">RentRoll!B15</f>
        <v>Large tenant (~5.75 ac, in county)</v>
      </c>
      <c r="D18" s="71" t="n">
        <f aca="false">RentRoll!$H$15*RentRoll!$P$15*(1+RentRoll!$Q$15)^(D$4-1)*(MAX(0,MIN(12*D$4,IF(RentRoll!$K$15="",99999,RentRoll!$K$15))-MAX(12*(D$4-1),RentRoll!$R$15))+RentRoll!$L$15*MAX(0,12*D$4-MAX(12*(D$4-1),IF(RentRoll!$K$15="",99999,RentRoll!$K$15),RentRoll!$R$15)))/12</f>
        <v>0</v>
      </c>
      <c r="E18" s="71" t="n">
        <f aca="false">RentRoll!$H$15*RentRoll!$P$15*(1+RentRoll!$Q$15)^(E$4-1)*(MAX(0,MIN(12*E$4,IF(RentRoll!$K$15="",99999,RentRoll!$K$15))-MAX(12*(E$4-1),RentRoll!$R$15))+RentRoll!$L$15*MAX(0,12*E$4-MAX(12*(E$4-1),IF(RentRoll!$K$15="",99999,RentRoll!$K$15),RentRoll!$R$15)))/12</f>
        <v>0</v>
      </c>
      <c r="F18" s="71" t="n">
        <f aca="false">RentRoll!$H$15*RentRoll!$P$15*(1+RentRoll!$Q$15)^(F$4-1)*(MAX(0,MIN(12*F$4,IF(RentRoll!$K$15="",99999,RentRoll!$K$15))-MAX(12*(F$4-1),RentRoll!$R$15))+RentRoll!$L$15*MAX(0,12*F$4-MAX(12*(F$4-1),IF(RentRoll!$K$15="",99999,RentRoll!$K$15),RentRoll!$R$15)))/12</f>
        <v>0</v>
      </c>
      <c r="G18" s="71" t="n">
        <f aca="false">RentRoll!$H$15*RentRoll!$P$15*(1+RentRoll!$Q$15)^(G$4-1)*(MAX(0,MIN(12*G$4,IF(RentRoll!$K$15="",99999,RentRoll!$K$15))-MAX(12*(G$4-1),RentRoll!$R$15))+RentRoll!$L$15*MAX(0,12*G$4-MAX(12*(G$4-1),IF(RentRoll!$K$15="",99999,RentRoll!$K$15),RentRoll!$R$15)))/12</f>
        <v>0</v>
      </c>
      <c r="H18" s="71" t="n">
        <f aca="false">RentRoll!$H$15*RentRoll!$P$15*(1+RentRoll!$Q$15)^(H$4-1)*(MAX(0,MIN(12*H$4,IF(RentRoll!$K$15="",99999,RentRoll!$K$15))-MAX(12*(H$4-1),RentRoll!$R$15))+RentRoll!$L$15*MAX(0,12*H$4-MAX(12*(H$4-1),IF(RentRoll!$K$15="",99999,RentRoll!$K$15),RentRoll!$R$15)))/12</f>
        <v>0</v>
      </c>
      <c r="I18" s="71" t="n">
        <f aca="false">RentRoll!$H$15*RentRoll!$P$15*(1+RentRoll!$Q$15)^(I$4-1)*(MAX(0,MIN(12*I$4,IF(RentRoll!$K$15="",99999,RentRoll!$K$15))-MAX(12*(I$4-1),RentRoll!$R$15))+RentRoll!$L$15*MAX(0,12*I$4-MAX(12*(I$4-1),IF(RentRoll!$K$15="",99999,RentRoll!$K$15),RentRoll!$R$15)))/12</f>
        <v>0</v>
      </c>
      <c r="J18" s="71" t="n">
        <f aca="false">RentRoll!$H$15*RentRoll!$P$15*(1+RentRoll!$Q$15)^(J$4-1)*(MAX(0,MIN(12*J$4,IF(RentRoll!$K$15="",99999,RentRoll!$K$15))-MAX(12*(J$4-1),RentRoll!$R$15))+RentRoll!$L$15*MAX(0,12*J$4-MAX(12*(J$4-1),IF(RentRoll!$K$15="",99999,RentRoll!$K$15),RentRoll!$R$15)))/12</f>
        <v>0</v>
      </c>
      <c r="K18" s="71" t="n">
        <f aca="false">RentRoll!$H$15*RentRoll!$P$15*(1+RentRoll!$Q$15)^(K$4-1)*(MAX(0,MIN(12*K$4,IF(RentRoll!$K$15="",99999,RentRoll!$K$15))-MAX(12*(K$4-1),RentRoll!$R$15))+RentRoll!$L$15*MAX(0,12*K$4-MAX(12*(K$4-1),IF(RentRoll!$K$15="",99999,RentRoll!$K$15),RentRoll!$R$15)))/12</f>
        <v>0</v>
      </c>
      <c r="L18" s="71" t="n">
        <f aca="false">RentRoll!$H$15*RentRoll!$P$15*(1+RentRoll!$Q$15)^(L$4-1)*(MAX(0,MIN(12*L$4,IF(RentRoll!$K$15="",99999,RentRoll!$K$15))-MAX(12*(L$4-1),RentRoll!$R$15))+RentRoll!$L$15*MAX(0,12*L$4-MAX(12*(L$4-1),IF(RentRoll!$K$15="",99999,RentRoll!$K$15),RentRoll!$R$15)))/12</f>
        <v>0</v>
      </c>
      <c r="M18" s="71" t="n">
        <f aca="false">RentRoll!$H$15*RentRoll!$P$15*(1+RentRoll!$Q$15)^(M$4-1)*(MAX(0,MIN(12*M$4,IF(RentRoll!$K$15="",99999,RentRoll!$K$15))-MAX(12*(M$4-1),RentRoll!$R$15))+RentRoll!$L$15*MAX(0,12*M$4-MAX(12*(M$4-1),IF(RentRoll!$K$15="",99999,RentRoll!$K$15),RentRoll!$R$15)))/12</f>
        <v>0</v>
      </c>
      <c r="N18" s="71" t="n">
        <f aca="false">RentRoll!$H$15*RentRoll!$P$15*(1+RentRoll!$Q$15)^(N$4-1)*(MAX(0,MIN(12*N$4,IF(RentRoll!$K$15="",99999,RentRoll!$K$15))-MAX(12*(N$4-1),RentRoll!$R$15))+RentRoll!$L$15*MAX(0,12*N$4-MAX(12*(N$4-1),IF(RentRoll!$K$15="",99999,RentRoll!$K$15),RentRoll!$R$15)))/12</f>
        <v>0</v>
      </c>
    </row>
    <row r="19" customFormat="false" ht="15" hidden="false" customHeight="false" outlineLevel="0" collapsed="false">
      <c r="A19" s="86" t="s">
        <v>210</v>
      </c>
      <c r="C19" s="92"/>
      <c r="D19" s="87" t="n">
        <f aca="false">SUM(D9:D18)</f>
        <v>457700</v>
      </c>
      <c r="E19" s="87" t="n">
        <f aca="false">SUM(E9:E18)</f>
        <v>485336</v>
      </c>
      <c r="F19" s="87" t="n">
        <f aca="false">SUM(F9:F18)</f>
        <v>490984.52</v>
      </c>
      <c r="G19" s="87" t="n">
        <f aca="false">SUM(G9:G18)</f>
        <v>505714.0556</v>
      </c>
      <c r="H19" s="87" t="n">
        <f aca="false">SUM(H9:H18)</f>
        <v>520885.477268</v>
      </c>
      <c r="I19" s="87" t="n">
        <f aca="false">SUM(I9:I18)</f>
        <v>509385.02824742</v>
      </c>
      <c r="J19" s="87" t="n">
        <f aca="false">SUM(J9:J18)</f>
        <v>524666.579094843</v>
      </c>
      <c r="K19" s="87" t="n">
        <f aca="false">SUM(K9:K18)</f>
        <v>540406.576467688</v>
      </c>
      <c r="L19" s="87" t="n">
        <f aca="false">SUM(L9:L18)</f>
        <v>556618.773761719</v>
      </c>
      <c r="M19" s="87" t="n">
        <f aca="false">SUM(M9:M18)</f>
        <v>573317.33697457</v>
      </c>
      <c r="N19" s="87" t="n">
        <f aca="false">SUM(N9:N18)</f>
        <v>590516.857083807</v>
      </c>
    </row>
    <row r="20" customFormat="false" ht="15" hidden="false" customHeight="false" outlineLevel="0" collapsed="false">
      <c r="A20" s="48" t="s">
        <v>211</v>
      </c>
      <c r="D20" s="71" t="n">
        <f aca="false">-D19*Vacancy</f>
        <v>-22885</v>
      </c>
      <c r="E20" s="71" t="n">
        <f aca="false">-E19*Vacancy</f>
        <v>-24266.8</v>
      </c>
      <c r="F20" s="71" t="n">
        <f aca="false">-F19*Vacancy</f>
        <v>-24549.226</v>
      </c>
      <c r="G20" s="71" t="n">
        <f aca="false">-G19*Vacancy</f>
        <v>-25285.70278</v>
      </c>
      <c r="H20" s="71" t="n">
        <f aca="false">-H19*Vacancy</f>
        <v>-26044.2738634</v>
      </c>
      <c r="I20" s="71" t="n">
        <f aca="false">-I19*Vacancy</f>
        <v>-25469.251412371</v>
      </c>
      <c r="J20" s="71" t="n">
        <f aca="false">-J19*Vacancy</f>
        <v>-26233.3289547421</v>
      </c>
      <c r="K20" s="71" t="n">
        <f aca="false">-K19*Vacancy</f>
        <v>-27020.3288233844</v>
      </c>
      <c r="L20" s="71" t="n">
        <f aca="false">-L19*Vacancy</f>
        <v>-27830.9386880859</v>
      </c>
      <c r="M20" s="71" t="n">
        <f aca="false">-M19*Vacancy</f>
        <v>-28665.8668487285</v>
      </c>
      <c r="N20" s="71" t="n">
        <f aca="false">-N19*Vacancy</f>
        <v>-29525.8428541904</v>
      </c>
    </row>
    <row r="21" customFormat="false" ht="15" hidden="false" customHeight="false" outlineLevel="0" collapsed="false">
      <c r="A21" s="86" t="s">
        <v>45</v>
      </c>
      <c r="C21" s="92"/>
      <c r="D21" s="87" t="n">
        <f aca="false">D19+D20</f>
        <v>434815</v>
      </c>
      <c r="E21" s="87" t="n">
        <f aca="false">E19+E20</f>
        <v>461069.2</v>
      </c>
      <c r="F21" s="87" t="n">
        <f aca="false">F19+F20</f>
        <v>466435.294</v>
      </c>
      <c r="G21" s="87" t="n">
        <f aca="false">G19+G20</f>
        <v>480428.35282</v>
      </c>
      <c r="H21" s="87" t="n">
        <f aca="false">H19+H20</f>
        <v>494841.2034046</v>
      </c>
      <c r="I21" s="87" t="n">
        <f aca="false">I19+I20</f>
        <v>483915.776835049</v>
      </c>
      <c r="J21" s="87" t="n">
        <f aca="false">J19+J20</f>
        <v>498433.250140101</v>
      </c>
      <c r="K21" s="87" t="n">
        <f aca="false">K19+K20</f>
        <v>513386.247644304</v>
      </c>
      <c r="L21" s="87" t="n">
        <f aca="false">L19+L20</f>
        <v>528787.835073633</v>
      </c>
      <c r="M21" s="87" t="n">
        <f aca="false">M19+M20</f>
        <v>544651.470125842</v>
      </c>
      <c r="N21" s="87" t="n">
        <f aca="false">N19+N20</f>
        <v>560991.014229617</v>
      </c>
    </row>
    <row r="23" customFormat="false" ht="15" hidden="false" customHeight="false" outlineLevel="0" collapsed="false">
      <c r="A23" s="57" t="s">
        <v>212</v>
      </c>
      <c r="B23" s="57"/>
      <c r="C23" s="57"/>
      <c r="D23" s="57"/>
      <c r="E23" s="57"/>
      <c r="F23" s="57"/>
      <c r="G23" s="57"/>
      <c r="H23" s="57"/>
      <c r="I23" s="57"/>
      <c r="J23" s="57"/>
      <c r="K23" s="57"/>
      <c r="L23" s="57"/>
      <c r="M23" s="57"/>
      <c r="N23" s="57"/>
    </row>
    <row r="24" customFormat="false" ht="15" hidden="false" customHeight="false" outlineLevel="0" collapsed="false">
      <c r="A24" s="48" t="s">
        <v>213</v>
      </c>
      <c r="D24" s="71" t="n">
        <f aca="false">-IF(TaxSwitch=1,PurchPrice*TaxRate,SellerTax)*(1+ExpGrowth)^(D$4-1)</f>
        <v>-5000</v>
      </c>
      <c r="E24" s="71" t="n">
        <f aca="false">-IF(TaxSwitch=1,PurchPrice*TaxRate,SellerTax)*(1+ExpGrowth)^(E$4-1)</f>
        <v>-5150</v>
      </c>
      <c r="F24" s="71" t="n">
        <f aca="false">-IF(TaxSwitch=1,PurchPrice*TaxRate,SellerTax)*(1+ExpGrowth)^(F$4-1)</f>
        <v>-5304.5</v>
      </c>
      <c r="G24" s="71" t="n">
        <f aca="false">-IF(TaxSwitch=1,PurchPrice*TaxRate,SellerTax)*(1+ExpGrowth)^(G$4-1)</f>
        <v>-5463.635</v>
      </c>
      <c r="H24" s="71" t="n">
        <f aca="false">-IF(TaxSwitch=1,PurchPrice*TaxRate,SellerTax)*(1+ExpGrowth)^(H$4-1)</f>
        <v>-5627.54405</v>
      </c>
      <c r="I24" s="71" t="n">
        <f aca="false">-IF(TaxSwitch=1,PurchPrice*TaxRate,SellerTax)*(1+ExpGrowth)^(I$4-1)</f>
        <v>-5796.3703715</v>
      </c>
      <c r="J24" s="71" t="n">
        <f aca="false">-IF(TaxSwitch=1,PurchPrice*TaxRate,SellerTax)*(1+ExpGrowth)^(J$4-1)</f>
        <v>-5970.261482645</v>
      </c>
      <c r="K24" s="71" t="n">
        <f aca="false">-IF(TaxSwitch=1,PurchPrice*TaxRate,SellerTax)*(1+ExpGrowth)^(K$4-1)</f>
        <v>-6149.36932712435</v>
      </c>
      <c r="L24" s="71" t="n">
        <f aca="false">-IF(TaxSwitch=1,PurchPrice*TaxRate,SellerTax)*(1+ExpGrowth)^(L$4-1)</f>
        <v>-6333.85040693808</v>
      </c>
      <c r="M24" s="71" t="n">
        <f aca="false">-IF(TaxSwitch=1,PurchPrice*TaxRate,SellerTax)*(1+ExpGrowth)^(M$4-1)</f>
        <v>-6523.86591914623</v>
      </c>
      <c r="N24" s="71" t="n">
        <f aca="false">-IF(TaxSwitch=1,PurchPrice*TaxRate,SellerTax)*(1+ExpGrowth)^(N$4-1)</f>
        <v>-6719.58189672061</v>
      </c>
    </row>
    <row r="25" customFormat="false" ht="15" hidden="false" customHeight="false" outlineLevel="0" collapsed="false">
      <c r="A25" s="48" t="s">
        <v>214</v>
      </c>
      <c r="D25" s="71" t="n">
        <f aca="false">-Insurance*(1+ExpGrowth)^(D$4-1)</f>
        <v>-2000</v>
      </c>
      <c r="E25" s="71" t="n">
        <f aca="false">-Insurance*(1+ExpGrowth)^(E$4-1)</f>
        <v>-2060</v>
      </c>
      <c r="F25" s="71" t="n">
        <f aca="false">-Insurance*(1+ExpGrowth)^(F$4-1)</f>
        <v>-2121.8</v>
      </c>
      <c r="G25" s="71" t="n">
        <f aca="false">-Insurance*(1+ExpGrowth)^(G$4-1)</f>
        <v>-2185.454</v>
      </c>
      <c r="H25" s="71" t="n">
        <f aca="false">-Insurance*(1+ExpGrowth)^(H$4-1)</f>
        <v>-2251.01762</v>
      </c>
      <c r="I25" s="71" t="n">
        <f aca="false">-Insurance*(1+ExpGrowth)^(I$4-1)</f>
        <v>-2318.5481486</v>
      </c>
      <c r="J25" s="71" t="n">
        <f aca="false">-Insurance*(1+ExpGrowth)^(J$4-1)</f>
        <v>-2388.104593058</v>
      </c>
      <c r="K25" s="71" t="n">
        <f aca="false">-Insurance*(1+ExpGrowth)^(K$4-1)</f>
        <v>-2459.74773084974</v>
      </c>
      <c r="L25" s="71" t="n">
        <f aca="false">-Insurance*(1+ExpGrowth)^(L$4-1)</f>
        <v>-2533.54016277523</v>
      </c>
      <c r="M25" s="71" t="n">
        <f aca="false">-Insurance*(1+ExpGrowth)^(M$4-1)</f>
        <v>-2609.54636765849</v>
      </c>
      <c r="N25" s="71" t="n">
        <f aca="false">-Insurance*(1+ExpGrowth)^(N$4-1)</f>
        <v>-2687.83275868824</v>
      </c>
    </row>
    <row r="26" customFormat="false" ht="15" hidden="false" customHeight="false" outlineLevel="0" collapsed="false">
      <c r="A26" s="48" t="s">
        <v>215</v>
      </c>
      <c r="D26" s="71" t="n">
        <f aca="false">-OtherOpex*(1+ExpGrowth)^(D$4-1)</f>
        <v>-0</v>
      </c>
      <c r="E26" s="71" t="n">
        <f aca="false">-OtherOpex*(1+ExpGrowth)^(E$4-1)</f>
        <v>-0</v>
      </c>
      <c r="F26" s="71" t="n">
        <f aca="false">-OtherOpex*(1+ExpGrowth)^(F$4-1)</f>
        <v>-0</v>
      </c>
      <c r="G26" s="71" t="n">
        <f aca="false">-OtherOpex*(1+ExpGrowth)^(G$4-1)</f>
        <v>-0</v>
      </c>
      <c r="H26" s="71" t="n">
        <f aca="false">-OtherOpex*(1+ExpGrowth)^(H$4-1)</f>
        <v>-0</v>
      </c>
      <c r="I26" s="71" t="n">
        <f aca="false">-OtherOpex*(1+ExpGrowth)^(I$4-1)</f>
        <v>-0</v>
      </c>
      <c r="J26" s="71" t="n">
        <f aca="false">-OtherOpex*(1+ExpGrowth)^(J$4-1)</f>
        <v>-0</v>
      </c>
      <c r="K26" s="71" t="n">
        <f aca="false">-OtherOpex*(1+ExpGrowth)^(K$4-1)</f>
        <v>-0</v>
      </c>
      <c r="L26" s="71" t="n">
        <f aca="false">-OtherOpex*(1+ExpGrowth)^(L$4-1)</f>
        <v>-0</v>
      </c>
      <c r="M26" s="71" t="n">
        <f aca="false">-OtherOpex*(1+ExpGrowth)^(M$4-1)</f>
        <v>-0</v>
      </c>
      <c r="N26" s="71" t="n">
        <f aca="false">-OtherOpex*(1+ExpGrowth)^(N$4-1)</f>
        <v>-0</v>
      </c>
    </row>
    <row r="27" customFormat="false" ht="15" hidden="false" customHeight="false" outlineLevel="0" collapsed="false">
      <c r="A27" s="48" t="s">
        <v>216</v>
      </c>
      <c r="D27" s="71" t="n">
        <f aca="false">-MgmtPct*D21</f>
        <v>-0</v>
      </c>
      <c r="E27" s="71" t="n">
        <f aca="false">-MgmtPct*E21</f>
        <v>-0</v>
      </c>
      <c r="F27" s="71" t="n">
        <f aca="false">-MgmtPct*F21</f>
        <v>-0</v>
      </c>
      <c r="G27" s="71" t="n">
        <f aca="false">-MgmtPct*G21</f>
        <v>-0</v>
      </c>
      <c r="H27" s="71" t="n">
        <f aca="false">-MgmtPct*H21</f>
        <v>-0</v>
      </c>
      <c r="I27" s="71" t="n">
        <f aca="false">-MgmtPct*I21</f>
        <v>-0</v>
      </c>
      <c r="J27" s="71" t="n">
        <f aca="false">-MgmtPct*J21</f>
        <v>-0</v>
      </c>
      <c r="K27" s="71" t="n">
        <f aca="false">-MgmtPct*K21</f>
        <v>-0</v>
      </c>
      <c r="L27" s="71" t="n">
        <f aca="false">-MgmtPct*L21</f>
        <v>-0</v>
      </c>
      <c r="M27" s="71" t="n">
        <f aca="false">-MgmtPct*M21</f>
        <v>-0</v>
      </c>
      <c r="N27" s="71" t="n">
        <f aca="false">-MgmtPct*N21</f>
        <v>-0</v>
      </c>
    </row>
    <row r="28" customFormat="false" ht="15" hidden="false" customHeight="false" outlineLevel="0" collapsed="false">
      <c r="A28" s="86" t="s">
        <v>217</v>
      </c>
      <c r="C28" s="92"/>
      <c r="D28" s="87" t="n">
        <f aca="false">SUM(D24:D27)</f>
        <v>-7000</v>
      </c>
      <c r="E28" s="87" t="n">
        <f aca="false">SUM(E24:E27)</f>
        <v>-7210</v>
      </c>
      <c r="F28" s="87" t="n">
        <f aca="false">SUM(F24:F27)</f>
        <v>-7426.3</v>
      </c>
      <c r="G28" s="87" t="n">
        <f aca="false">SUM(G24:G27)</f>
        <v>-7649.089</v>
      </c>
      <c r="H28" s="87" t="n">
        <f aca="false">SUM(H24:H27)</f>
        <v>-7878.56167</v>
      </c>
      <c r="I28" s="87" t="n">
        <f aca="false">SUM(I24:I27)</f>
        <v>-8114.9185201</v>
      </c>
      <c r="J28" s="87" t="n">
        <f aca="false">SUM(J24:J27)</f>
        <v>-8358.366075703</v>
      </c>
      <c r="K28" s="87" t="n">
        <f aca="false">SUM(K24:K27)</f>
        <v>-8609.11705797409</v>
      </c>
      <c r="L28" s="87" t="n">
        <f aca="false">SUM(L24:L27)</f>
        <v>-8867.39056971331</v>
      </c>
      <c r="M28" s="87" t="n">
        <f aca="false">SUM(M24:M27)</f>
        <v>-9133.41228680471</v>
      </c>
      <c r="N28" s="87" t="n">
        <f aca="false">SUM(N24:N27)</f>
        <v>-9407.41465540886</v>
      </c>
    </row>
    <row r="30" customFormat="false" ht="15" hidden="false" customHeight="false" outlineLevel="0" collapsed="false">
      <c r="A30" s="86" t="s">
        <v>218</v>
      </c>
      <c r="C30" s="92"/>
      <c r="D30" s="87" t="n">
        <f aca="false">D21+D28</f>
        <v>427815</v>
      </c>
      <c r="E30" s="87" t="n">
        <f aca="false">E21+E28</f>
        <v>453859.2</v>
      </c>
      <c r="F30" s="87" t="n">
        <f aca="false">F21+F28</f>
        <v>459008.994</v>
      </c>
      <c r="G30" s="87" t="n">
        <f aca="false">G21+G28</f>
        <v>472779.26382</v>
      </c>
      <c r="H30" s="87" t="n">
        <f aca="false">H21+H28</f>
        <v>486962.6417346</v>
      </c>
      <c r="I30" s="87" t="n">
        <f aca="false">I21+I28</f>
        <v>475800.858314949</v>
      </c>
      <c r="J30" s="87" t="n">
        <f aca="false">J21+J28</f>
        <v>490074.884064398</v>
      </c>
      <c r="K30" s="87" t="n">
        <f aca="false">K21+K28</f>
        <v>504777.130586329</v>
      </c>
      <c r="L30" s="87" t="n">
        <f aca="false">L21+L28</f>
        <v>519920.444503919</v>
      </c>
      <c r="M30" s="87" t="n">
        <f aca="false">M21+M28</f>
        <v>535518.057839037</v>
      </c>
      <c r="N30" s="87" t="n">
        <f aca="false">N21+N28</f>
        <v>551583.599574208</v>
      </c>
    </row>
    <row r="31" customFormat="false" ht="15" hidden="false" customHeight="false" outlineLevel="0" collapsed="false">
      <c r="A31" s="48" t="s">
        <v>219</v>
      </c>
      <c r="D31" s="93" t="n">
        <f aca="false">D30+IF(TaxSwitch=1,PurchPrice*TaxRate*(1+ExpGrowth)^(D$4-1),0)</f>
        <v>427815</v>
      </c>
      <c r="E31" s="93" t="n">
        <f aca="false">E30+IF(TaxSwitch=1,PurchPrice*TaxRate*(1+ExpGrowth)^(E$4-1),0)</f>
        <v>453859.2</v>
      </c>
      <c r="F31" s="93" t="n">
        <f aca="false">F30+IF(TaxSwitch=1,PurchPrice*TaxRate*(1+ExpGrowth)^(F$4-1),0)</f>
        <v>459008.994</v>
      </c>
      <c r="G31" s="93" t="n">
        <f aca="false">G30+IF(TaxSwitch=1,PurchPrice*TaxRate*(1+ExpGrowth)^(G$4-1),0)</f>
        <v>472779.26382</v>
      </c>
      <c r="H31" s="93" t="n">
        <f aca="false">H30+IF(TaxSwitch=1,PurchPrice*TaxRate*(1+ExpGrowth)^(H$4-1),0)</f>
        <v>486962.6417346</v>
      </c>
      <c r="I31" s="93" t="n">
        <f aca="false">I30+IF(TaxSwitch=1,PurchPrice*TaxRate*(1+ExpGrowth)^(I$4-1),0)</f>
        <v>475800.858314949</v>
      </c>
      <c r="J31" s="93" t="n">
        <f aca="false">J30+IF(TaxSwitch=1,PurchPrice*TaxRate*(1+ExpGrowth)^(J$4-1),0)</f>
        <v>490074.884064398</v>
      </c>
      <c r="K31" s="93" t="n">
        <f aca="false">K30+IF(TaxSwitch=1,PurchPrice*TaxRate*(1+ExpGrowth)^(K$4-1),0)</f>
        <v>504777.130586329</v>
      </c>
      <c r="L31" s="93" t="n">
        <f aca="false">L30+IF(TaxSwitch=1,PurchPrice*TaxRate*(1+ExpGrowth)^(L$4-1),0)</f>
        <v>519920.444503919</v>
      </c>
      <c r="M31" s="93" t="n">
        <f aca="false">M30+IF(TaxSwitch=1,PurchPrice*TaxRate*(1+ExpGrowth)^(M$4-1),0)</f>
        <v>535518.057839037</v>
      </c>
      <c r="N31" s="93" t="n">
        <f aca="false">N30+IF(TaxSwitch=1,PurchPrice*TaxRate*(1+ExpGrowth)^(N$4-1),0)</f>
        <v>551583.599574208</v>
      </c>
    </row>
    <row r="32" customFormat="false" ht="15" hidden="false" customHeight="false" outlineLevel="0" collapsed="false">
      <c r="A32" s="48" t="s">
        <v>220</v>
      </c>
      <c r="D32" s="94" t="n">
        <f aca="false">TaxSwitch*TaxRate*(1+ExpGrowth)^(D$4-1)</f>
        <v>0</v>
      </c>
      <c r="E32" s="94" t="n">
        <f aca="false">TaxSwitch*TaxRate*(1+ExpGrowth)^(E$4-1)</f>
        <v>0</v>
      </c>
      <c r="F32" s="94" t="n">
        <f aca="false">TaxSwitch*TaxRate*(1+ExpGrowth)^(F$4-1)</f>
        <v>0</v>
      </c>
      <c r="G32" s="94" t="n">
        <f aca="false">TaxSwitch*TaxRate*(1+ExpGrowth)^(G$4-1)</f>
        <v>0</v>
      </c>
      <c r="H32" s="94" t="n">
        <f aca="false">TaxSwitch*TaxRate*(1+ExpGrowth)^(H$4-1)</f>
        <v>0</v>
      </c>
      <c r="I32" s="94" t="n">
        <f aca="false">TaxSwitch*TaxRate*(1+ExpGrowth)^(I$4-1)</f>
        <v>0</v>
      </c>
      <c r="J32" s="94" t="n">
        <f aca="false">TaxSwitch*TaxRate*(1+ExpGrowth)^(J$4-1)</f>
        <v>0</v>
      </c>
      <c r="K32" s="94" t="n">
        <f aca="false">TaxSwitch*TaxRate*(1+ExpGrowth)^(K$4-1)</f>
        <v>0</v>
      </c>
      <c r="L32" s="94" t="n">
        <f aca="false">TaxSwitch*TaxRate*(1+ExpGrowth)^(L$4-1)</f>
        <v>0</v>
      </c>
      <c r="M32" s="94" t="n">
        <f aca="false">TaxSwitch*TaxRate*(1+ExpGrowth)^(M$4-1)</f>
        <v>0</v>
      </c>
      <c r="N32" s="94" t="n">
        <f aca="false">TaxSwitch*TaxRate*(1+ExpGrowth)^(N$4-1)</f>
        <v>0</v>
      </c>
    </row>
    <row r="34" customFormat="false" ht="15" hidden="false" customHeight="false" outlineLevel="0" collapsed="false">
      <c r="A34" s="57" t="s">
        <v>221</v>
      </c>
      <c r="B34" s="57"/>
      <c r="C34" s="57"/>
      <c r="D34" s="57"/>
      <c r="E34" s="57"/>
      <c r="F34" s="57"/>
      <c r="G34" s="57"/>
      <c r="H34" s="57"/>
      <c r="I34" s="57"/>
      <c r="J34" s="57"/>
      <c r="K34" s="57"/>
      <c r="L34" s="57"/>
      <c r="M34" s="57"/>
      <c r="N34" s="57"/>
    </row>
    <row r="35" customFormat="false" ht="15" hidden="false" customHeight="false" outlineLevel="0" collapsed="false">
      <c r="A35" s="48" t="s">
        <v>222</v>
      </c>
      <c r="D35" s="71" t="n">
        <f aca="false">-SUMIF(Capex!$E$6:$E$9,D$4,Capex!$K$6:$K$9)</f>
        <v>-112500</v>
      </c>
      <c r="E35" s="71" t="n">
        <f aca="false">-SUMIF(Capex!$E$6:$E$9,E$4,Capex!$K$6:$K$9)</f>
        <v>-45000</v>
      </c>
      <c r="F35" s="71" t="n">
        <f aca="false">-SUMIF(Capex!$E$6:$E$9,F$4,Capex!$K$6:$K$9)</f>
        <v>-0</v>
      </c>
      <c r="G35" s="71" t="n">
        <f aca="false">-SUMIF(Capex!$E$6:$E$9,G$4,Capex!$K$6:$K$9)</f>
        <v>-0</v>
      </c>
      <c r="H35" s="71" t="n">
        <f aca="false">-SUMIF(Capex!$E$6:$E$9,H$4,Capex!$K$6:$K$9)</f>
        <v>-0</v>
      </c>
      <c r="I35" s="71" t="n">
        <f aca="false">-SUMIF(Capex!$E$6:$E$9,I$4,Capex!$K$6:$K$9)</f>
        <v>-0</v>
      </c>
      <c r="J35" s="71" t="n">
        <f aca="false">-SUMIF(Capex!$E$6:$E$9,J$4,Capex!$K$6:$K$9)</f>
        <v>-0</v>
      </c>
      <c r="K35" s="71" t="n">
        <f aca="false">-SUMIF(Capex!$E$6:$E$9,K$4,Capex!$K$6:$K$9)</f>
        <v>-0</v>
      </c>
      <c r="L35" s="71" t="n">
        <f aca="false">-SUMIF(Capex!$E$6:$E$9,L$4,Capex!$K$6:$K$9)</f>
        <v>-0</v>
      </c>
      <c r="M35" s="71" t="n">
        <f aca="false">-SUMIF(Capex!$E$6:$E$9,M$4,Capex!$K$6:$K$9)</f>
        <v>-0</v>
      </c>
      <c r="N35" s="71" t="n">
        <f aca="false">-SUMIF(Capex!$E$6:$E$9,N$4,Capex!$K$6:$K$9)</f>
        <v>-0</v>
      </c>
    </row>
    <row r="36" customFormat="false" ht="15" hidden="false" customHeight="false" outlineLevel="0" collapsed="false">
      <c r="A36" s="48" t="s">
        <v>223</v>
      </c>
      <c r="D36" s="71" t="n">
        <f aca="false">-ReservePerAcre*Acres*(1+ExpGrowth)^(D$4-1)</f>
        <v>-0</v>
      </c>
      <c r="E36" s="71" t="n">
        <f aca="false">-ReservePerAcre*Acres*(1+ExpGrowth)^(E$4-1)</f>
        <v>-0</v>
      </c>
      <c r="F36" s="71" t="n">
        <f aca="false">-ReservePerAcre*Acres*(1+ExpGrowth)^(F$4-1)</f>
        <v>-0</v>
      </c>
      <c r="G36" s="71" t="n">
        <f aca="false">-ReservePerAcre*Acres*(1+ExpGrowth)^(G$4-1)</f>
        <v>-0</v>
      </c>
      <c r="H36" s="71" t="n">
        <f aca="false">-ReservePerAcre*Acres*(1+ExpGrowth)^(H$4-1)</f>
        <v>-0</v>
      </c>
      <c r="I36" s="71" t="n">
        <f aca="false">-ReservePerAcre*Acres*(1+ExpGrowth)^(I$4-1)</f>
        <v>-0</v>
      </c>
      <c r="J36" s="71" t="n">
        <f aca="false">-ReservePerAcre*Acres*(1+ExpGrowth)^(J$4-1)</f>
        <v>-0</v>
      </c>
      <c r="K36" s="71" t="n">
        <f aca="false">-ReservePerAcre*Acres*(1+ExpGrowth)^(K$4-1)</f>
        <v>-0</v>
      </c>
      <c r="L36" s="71" t="n">
        <f aca="false">-ReservePerAcre*Acres*(1+ExpGrowth)^(L$4-1)</f>
        <v>-0</v>
      </c>
      <c r="M36" s="71" t="n">
        <f aca="false">-ReservePerAcre*Acres*(1+ExpGrowth)^(M$4-1)</f>
        <v>-0</v>
      </c>
      <c r="N36" s="71" t="n">
        <f aca="false">-ReservePerAcre*Acres*(1+ExpGrowth)^(N$4-1)</f>
        <v>-0</v>
      </c>
    </row>
    <row r="38" customFormat="false" ht="15" hidden="false" customHeight="false" outlineLevel="0" collapsed="false">
      <c r="A38" s="57" t="s">
        <v>224</v>
      </c>
      <c r="B38" s="57"/>
      <c r="C38" s="57"/>
      <c r="D38" s="57"/>
      <c r="E38" s="57"/>
      <c r="F38" s="57"/>
      <c r="G38" s="57"/>
      <c r="H38" s="57"/>
      <c r="I38" s="57"/>
      <c r="J38" s="57"/>
      <c r="K38" s="57"/>
      <c r="L38" s="57"/>
      <c r="M38" s="57"/>
      <c r="N38" s="57"/>
    </row>
    <row r="39" customFormat="false" ht="15" hidden="false" customHeight="false" outlineLevel="0" collapsed="false">
      <c r="A39" s="48" t="s">
        <v>225</v>
      </c>
      <c r="C39" s="71" t="n">
        <f aca="false">-PurchPrice*(1+CloseCost)</f>
        <v>-5582500</v>
      </c>
    </row>
    <row r="40" customFormat="false" ht="15" hidden="false" customHeight="false" outlineLevel="0" collapsed="false">
      <c r="A40" s="48" t="s">
        <v>226</v>
      </c>
      <c r="D40" s="71" t="n">
        <f aca="false">D30*D$5</f>
        <v>427815</v>
      </c>
      <c r="E40" s="71" t="n">
        <f aca="false">E30*E$5</f>
        <v>453859.2</v>
      </c>
      <c r="F40" s="71" t="n">
        <f aca="false">F30*F$5</f>
        <v>459008.994</v>
      </c>
      <c r="G40" s="71" t="n">
        <f aca="false">G30*G$5</f>
        <v>472779.26382</v>
      </c>
      <c r="H40" s="71" t="n">
        <f aca="false">H30*H$5</f>
        <v>486962.6417346</v>
      </c>
      <c r="I40" s="71" t="n">
        <f aca="false">I30*I$5</f>
        <v>475800.858314949</v>
      </c>
      <c r="J40" s="71" t="n">
        <f aca="false">J30*J$5</f>
        <v>490074.884064398</v>
      </c>
      <c r="K40" s="71" t="n">
        <f aca="false">K30*K$5</f>
        <v>0</v>
      </c>
      <c r="L40" s="71" t="n">
        <f aca="false">L30*L$5</f>
        <v>0</v>
      </c>
      <c r="M40" s="71" t="n">
        <f aca="false">M30*M$5</f>
        <v>0</v>
      </c>
      <c r="N40" s="71" t="n">
        <f aca="false">N30*N$5</f>
        <v>0</v>
      </c>
    </row>
    <row r="41" customFormat="false" ht="15" hidden="false" customHeight="false" outlineLevel="0" collapsed="false">
      <c r="A41" s="48" t="s">
        <v>227</v>
      </c>
      <c r="D41" s="71" t="n">
        <f aca="false">(D35+D36)*D$5</f>
        <v>-112500</v>
      </c>
      <c r="E41" s="71" t="n">
        <f aca="false">(E35+E36)*E$5</f>
        <v>-45000</v>
      </c>
      <c r="F41" s="71" t="n">
        <f aca="false">(F35+F36)*F$5</f>
        <v>-0</v>
      </c>
      <c r="G41" s="71" t="n">
        <f aca="false">(G35+G36)*G$5</f>
        <v>-0</v>
      </c>
      <c r="H41" s="71" t="n">
        <f aca="false">(H35+H36)*H$5</f>
        <v>-0</v>
      </c>
      <c r="I41" s="71" t="n">
        <f aca="false">(I35+I36)*I$5</f>
        <v>-0</v>
      </c>
      <c r="J41" s="71" t="n">
        <f aca="false">(J35+J36)*J$5</f>
        <v>-0</v>
      </c>
      <c r="K41" s="71" t="n">
        <f aca="false">(K35+K36)*K$5</f>
        <v>-0</v>
      </c>
      <c r="L41" s="71" t="n">
        <f aca="false">(L35+L36)*L$5</f>
        <v>-0</v>
      </c>
      <c r="M41" s="71" t="n">
        <f aca="false">(M35+M36)*M$5</f>
        <v>-0</v>
      </c>
      <c r="N41" s="71" t="n">
        <f aca="false">(N35+N36)*N$5</f>
        <v>-0</v>
      </c>
    </row>
    <row r="42" customFormat="false" ht="15" hidden="false" customHeight="false" outlineLevel="0" collapsed="false">
      <c r="A42" s="48" t="s">
        <v>228</v>
      </c>
      <c r="D42" s="71" t="n">
        <f aca="false">E30</f>
        <v>453859.2</v>
      </c>
      <c r="E42" s="71" t="n">
        <f aca="false">F30</f>
        <v>459008.994</v>
      </c>
      <c r="F42" s="71" t="n">
        <f aca="false">G30</f>
        <v>472779.26382</v>
      </c>
      <c r="G42" s="71" t="n">
        <f aca="false">H30</f>
        <v>486962.6417346</v>
      </c>
      <c r="H42" s="71" t="n">
        <f aca="false">I30</f>
        <v>475800.858314949</v>
      </c>
      <c r="I42" s="71" t="n">
        <f aca="false">J30</f>
        <v>490074.884064398</v>
      </c>
      <c r="J42" s="71" t="n">
        <f aca="false">K30</f>
        <v>504777.130586329</v>
      </c>
      <c r="K42" s="71" t="n">
        <f aca="false">L30</f>
        <v>519920.444503919</v>
      </c>
      <c r="L42" s="71" t="n">
        <f aca="false">M30</f>
        <v>535518.057839037</v>
      </c>
      <c r="M42" s="71" t="n">
        <f aca="false">N30</f>
        <v>551583.599574208</v>
      </c>
      <c r="N42" s="71" t="n">
        <f aca="false">O30</f>
        <v>0</v>
      </c>
    </row>
    <row r="43" customFormat="false" ht="15" hidden="false" customHeight="false" outlineLevel="0" collapsed="false">
      <c r="A43" s="48" t="s">
        <v>229</v>
      </c>
      <c r="D43" s="71" t="n">
        <f aca="false">D$6*D42/ExitCap</f>
        <v>0</v>
      </c>
      <c r="E43" s="71" t="n">
        <f aca="false">E$6*E42/ExitCap</f>
        <v>0</v>
      </c>
      <c r="F43" s="71" t="n">
        <f aca="false">F$6*F42/ExitCap</f>
        <v>0</v>
      </c>
      <c r="G43" s="71" t="n">
        <f aca="false">G$6*G42/ExitCap</f>
        <v>0</v>
      </c>
      <c r="H43" s="71" t="n">
        <f aca="false">H$6*H42/ExitCap</f>
        <v>0</v>
      </c>
      <c r="I43" s="71" t="n">
        <f aca="false">I$6*I42/ExitCap</f>
        <v>0</v>
      </c>
      <c r="J43" s="71" t="n">
        <f aca="false">J$6*J42/ExitCap</f>
        <v>7211101.86551899</v>
      </c>
      <c r="K43" s="71" t="n">
        <f aca="false">K$6*K42/ExitCap</f>
        <v>0</v>
      </c>
      <c r="L43" s="71" t="n">
        <f aca="false">L$6*L42/ExitCap</f>
        <v>0</v>
      </c>
      <c r="M43" s="71" t="n">
        <f aca="false">M$6*M42/ExitCap</f>
        <v>0</v>
      </c>
      <c r="N43" s="71" t="n">
        <f aca="false">N$6*N42/ExitCap</f>
        <v>0</v>
      </c>
    </row>
    <row r="44" customFormat="false" ht="15" hidden="false" customHeight="false" outlineLevel="0" collapsed="false">
      <c r="A44" s="48" t="s">
        <v>230</v>
      </c>
      <c r="D44" s="71" t="n">
        <f aca="false">-D43*SaleCost</f>
        <v>-0</v>
      </c>
      <c r="E44" s="71" t="n">
        <f aca="false">-E43*SaleCost</f>
        <v>-0</v>
      </c>
      <c r="F44" s="71" t="n">
        <f aca="false">-F43*SaleCost</f>
        <v>-0</v>
      </c>
      <c r="G44" s="71" t="n">
        <f aca="false">-G43*SaleCost</f>
        <v>-0</v>
      </c>
      <c r="H44" s="71" t="n">
        <f aca="false">-H43*SaleCost</f>
        <v>-0</v>
      </c>
      <c r="I44" s="71" t="n">
        <f aca="false">-I43*SaleCost</f>
        <v>-0</v>
      </c>
      <c r="J44" s="71" t="n">
        <f aca="false">-J43*SaleCost</f>
        <v>-144222.03731038</v>
      </c>
      <c r="K44" s="71" t="n">
        <f aca="false">-K43*SaleCost</f>
        <v>-0</v>
      </c>
      <c r="L44" s="71" t="n">
        <f aca="false">-L43*SaleCost</f>
        <v>-0</v>
      </c>
      <c r="M44" s="71" t="n">
        <f aca="false">-M43*SaleCost</f>
        <v>-0</v>
      </c>
      <c r="N44" s="71" t="n">
        <f aca="false">-N43*SaleCost</f>
        <v>-0</v>
      </c>
    </row>
    <row r="45" customFormat="false" ht="15" hidden="false" customHeight="false" outlineLevel="0" collapsed="false">
      <c r="A45" s="48" t="s">
        <v>231</v>
      </c>
      <c r="D45" s="71" t="n">
        <f aca="false">D43+D44</f>
        <v>0</v>
      </c>
      <c r="E45" s="71" t="n">
        <f aca="false">E43+E44</f>
        <v>0</v>
      </c>
      <c r="F45" s="71" t="n">
        <f aca="false">F43+F44</f>
        <v>0</v>
      </c>
      <c r="G45" s="71" t="n">
        <f aca="false">G43+G44</f>
        <v>0</v>
      </c>
      <c r="H45" s="71" t="n">
        <f aca="false">H43+H44</f>
        <v>0</v>
      </c>
      <c r="I45" s="71" t="n">
        <f aca="false">I43+I44</f>
        <v>0</v>
      </c>
      <c r="J45" s="71" t="n">
        <f aca="false">J43+J44</f>
        <v>7066879.82820861</v>
      </c>
      <c r="K45" s="71" t="n">
        <f aca="false">K43+K44</f>
        <v>0</v>
      </c>
      <c r="L45" s="71" t="n">
        <f aca="false">L43+L44</f>
        <v>0</v>
      </c>
      <c r="M45" s="71" t="n">
        <f aca="false">M43+M44</f>
        <v>0</v>
      </c>
      <c r="N45" s="71" t="n">
        <f aca="false">N43+N44</f>
        <v>0</v>
      </c>
    </row>
    <row r="46" customFormat="false" ht="15" hidden="false" customHeight="false" outlineLevel="0" collapsed="false">
      <c r="A46" s="86" t="s">
        <v>232</v>
      </c>
      <c r="C46" s="87" t="n">
        <f aca="false">C39</f>
        <v>-5582500</v>
      </c>
      <c r="D46" s="87" t="n">
        <f aca="false">D40+D41+D45</f>
        <v>315315</v>
      </c>
      <c r="E46" s="87" t="n">
        <f aca="false">E40+E41+E45</f>
        <v>408859.2</v>
      </c>
      <c r="F46" s="87" t="n">
        <f aca="false">F40+F41+F45</f>
        <v>459008.994</v>
      </c>
      <c r="G46" s="87" t="n">
        <f aca="false">G40+G41+G45</f>
        <v>472779.26382</v>
      </c>
      <c r="H46" s="87" t="n">
        <f aca="false">H40+H41+H45</f>
        <v>486962.6417346</v>
      </c>
      <c r="I46" s="87" t="n">
        <f aca="false">I40+I41+I45</f>
        <v>475800.858314949</v>
      </c>
      <c r="J46" s="87" t="n">
        <f aca="false">J40+J41+J45</f>
        <v>7556954.71227301</v>
      </c>
      <c r="K46" s="87" t="n">
        <f aca="false">K40+K41+K45</f>
        <v>0</v>
      </c>
      <c r="L46" s="87" t="n">
        <f aca="false">L40+L41+L45</f>
        <v>0</v>
      </c>
      <c r="M46" s="87" t="n">
        <f aca="false">M40+M41+M45</f>
        <v>0</v>
      </c>
      <c r="N46" s="87" t="n">
        <f aca="false">N40+N41+N45</f>
        <v>0</v>
      </c>
    </row>
    <row r="48" customFormat="false" ht="15" hidden="false" customHeight="false" outlineLevel="0" collapsed="false">
      <c r="A48" s="57" t="s">
        <v>233</v>
      </c>
      <c r="B48" s="57"/>
      <c r="C48" s="57"/>
      <c r="D48" s="57"/>
      <c r="E48" s="57"/>
      <c r="F48" s="57"/>
      <c r="G48" s="57"/>
      <c r="H48" s="57"/>
      <c r="I48" s="57"/>
      <c r="J48" s="57"/>
      <c r="K48" s="57"/>
      <c r="L48" s="57"/>
      <c r="M48" s="57"/>
      <c r="N48" s="57"/>
    </row>
    <row r="49" customFormat="false" ht="15" hidden="false" customHeight="false" outlineLevel="0" collapsed="false">
      <c r="A49" s="48" t="s">
        <v>234</v>
      </c>
      <c r="C49" s="71" t="n">
        <f aca="false">LevOn*LoanLTV*PurchPrice</f>
        <v>3025000</v>
      </c>
    </row>
    <row r="50" customFormat="false" ht="15" hidden="false" customHeight="false" outlineLevel="0" collapsed="false">
      <c r="A50" s="48" t="s">
        <v>235</v>
      </c>
      <c r="C50" s="71" t="n">
        <f aca="false">-C49*LoanFee</f>
        <v>-30250</v>
      </c>
    </row>
    <row r="51" customFormat="false" ht="15" hidden="false" customHeight="false" outlineLevel="0" collapsed="false">
      <c r="A51" s="48" t="s">
        <v>236</v>
      </c>
      <c r="D51" s="71" t="n">
        <f aca="false">-IF(OR($C$49&lt;=0,LoanRate&lt;=0),0,IF(D$4&lt;=IOYrs,$C$49*LoanRate,IF(D$4-IOYrs&gt;AmortYrs,0,-CUMIPMT(LoanRate/12,AmortYrs*12,$C$49,(D$4-IOYrs-1)*12+1,(D$4-IOYrs)*12,0))))</f>
        <v>-204187.5</v>
      </c>
      <c r="E51" s="71" t="n">
        <f aca="false">-IF(OR($C$49&lt;=0,LoanRate&lt;=0),0,IF(E$4&lt;=IOYrs,$C$49*LoanRate,IF(E$4-IOYrs&gt;AmortYrs,0,-CUMIPMT(LoanRate/12,AmortYrs*12,$C$49,(E$4-IOYrs-1)*12+1,(E$4-IOYrs)*12,0))))</f>
        <v>-204187.5</v>
      </c>
      <c r="F51" s="71" t="n">
        <f aca="false">-IF(OR($C$49&lt;=0,LoanRate&lt;=0),0,IF(F$4&lt;=IOYrs,$C$49*LoanRate,IF(F$4-IOYrs&gt;AmortYrs,0,-CUMIPMT(LoanRate/12,AmortYrs*12,$C$49,(F$4-IOYrs-1)*12+1,(F$4-IOYrs)*12,0))))</f>
        <v>-202718.013721345</v>
      </c>
      <c r="G51" s="71" t="n">
        <f aca="false">-IF(OR($C$49&lt;=0,LoanRate&lt;=0),0,IF(G$4&lt;=IOYrs,$C$49*LoanRate,IF(G$4-IOYrs&gt;AmortYrs,0,-CUMIPMT(LoanRate/12,AmortYrs*12,$C$49,(G$4-IOYrs-1)*12+1,(G$4-IOYrs)*12,0))))</f>
        <v>-199370.10270361</v>
      </c>
      <c r="H51" s="71" t="n">
        <f aca="false">-IF(OR($C$49&lt;=0,LoanRate&lt;=0),0,IF(H$4&lt;=IOYrs,$C$49*LoanRate,IF(H$4-IOYrs&gt;AmortYrs,0,-CUMIPMT(LoanRate/12,AmortYrs*12,$C$49,(H$4-IOYrs-1)*12+1,(H$4-IOYrs)*12,0))))</f>
        <v>-195789.083549883</v>
      </c>
      <c r="I51" s="71" t="n">
        <f aca="false">-IF(OR($C$49&lt;=0,LoanRate&lt;=0),0,IF(I$4&lt;=IOYrs,$C$49*LoanRate,IF(I$4-IOYrs&gt;AmortYrs,0,-CUMIPMT(LoanRate/12,AmortYrs*12,$C$49,(I$4-IOYrs-1)*12+1,(I$4-IOYrs)*12,0))))</f>
        <v>-191958.725421659</v>
      </c>
      <c r="J51" s="71" t="n">
        <f aca="false">-IF(OR($C$49&lt;=0,LoanRate&lt;=0),0,IF(J$4&lt;=IOYrs,$C$49*LoanRate,IF(J$4-IOYrs&gt;AmortYrs,0,-CUMIPMT(LoanRate/12,AmortYrs*12,$C$49,(J$4-IOYrs-1)*12+1,(J$4-IOYrs)*12,0))))</f>
        <v>-187861.667360635</v>
      </c>
      <c r="K51" s="71" t="n">
        <f aca="false">-IF(OR($C$49&lt;=0,LoanRate&lt;=0),0,IF(K$4&lt;=IOYrs,$C$49*LoanRate,IF(K$4-IOYrs&gt;AmortYrs,0,-CUMIPMT(LoanRate/12,AmortYrs*12,$C$49,(K$4-IOYrs-1)*12+1,(K$4-IOYrs)*12,0))))</f>
        <v>-183479.339600807</v>
      </c>
      <c r="L51" s="71" t="n">
        <f aca="false">-IF(OR($C$49&lt;=0,LoanRate&lt;=0),0,IF(L$4&lt;=IOYrs,$C$49*LoanRate,IF(L$4-IOYrs&gt;AmortYrs,0,-CUMIPMT(LoanRate/12,AmortYrs*12,$C$49,(L$4-IOYrs-1)*12+1,(L$4-IOYrs)*12,0))))</f>
        <v>-178791.879401682</v>
      </c>
      <c r="M51" s="71" t="n">
        <f aca="false">-IF(OR($C$49&lt;=0,LoanRate&lt;=0),0,IF(M$4&lt;=IOYrs,$C$49*LoanRate,IF(M$4-IOYrs&gt;AmortYrs,0,-CUMIPMT(LoanRate/12,AmortYrs*12,$C$49,(M$4-IOYrs-1)*12+1,(M$4-IOYrs)*12,0))))</f>
        <v>-173778.041021128</v>
      </c>
      <c r="N51" s="71" t="n">
        <f aca="false">-IF(OR($C$49&lt;=0,LoanRate&lt;=0),0,IF(N$4&lt;=IOYrs,$C$49*LoanRate,IF(N$4-IOYrs&gt;AmortYrs,0,-CUMIPMT(LoanRate/12,AmortYrs*12,$C$49,(N$4-IOYrs-1)*12+1,(N$4-IOYrs)*12,0))))</f>
        <v>-168415.099419832</v>
      </c>
    </row>
    <row r="52" customFormat="false" ht="15" hidden="false" customHeight="false" outlineLevel="0" collapsed="false">
      <c r="A52" s="48" t="s">
        <v>237</v>
      </c>
      <c r="D52" s="71" t="n">
        <f aca="false">-IF(OR($C$49&lt;=0,LoanRate&lt;=0),0,IF(D$4&lt;=IOYrs,0,IF(D$4-IOYrs&gt;AmortYrs,0,-CUMPRINC(LoanRate/12,AmortYrs*12,$C$49,(D$4-IOYrs-1)*12+1,(D$4-IOYrs)*12,0))))</f>
        <v>-0</v>
      </c>
      <c r="E52" s="71" t="n">
        <f aca="false">-IF(OR($C$49&lt;=0,LoanRate&lt;=0),0,IF(E$4&lt;=IOYrs,0,IF(E$4-IOYrs&gt;AmortYrs,0,-CUMPRINC(LoanRate/12,AmortYrs*12,$C$49,(E$4-IOYrs-1)*12+1,(E$4-IOYrs)*12,0))))</f>
        <v>-0</v>
      </c>
      <c r="F52" s="71" t="n">
        <f aca="false">-IF(OR($C$49&lt;=0,LoanRate&lt;=0),0,IF(F$4&lt;=IOYrs,0,IF(F$4-IOYrs&gt;AmortYrs,0,-CUMPRINC(LoanRate/12,AmortYrs*12,$C$49,(F$4-IOYrs-1)*12+1,(F$4-IOYrs)*12,0))))</f>
        <v>-48082.8699308457</v>
      </c>
      <c r="G52" s="71" t="n">
        <f aca="false">-IF(OR($C$49&lt;=0,LoanRate&lt;=0),0,IF(G$4&lt;=IOYrs,0,IF(G$4-IOYrs&gt;AmortYrs,0,-CUMPRINC(LoanRate/12,AmortYrs*12,$C$49,(G$4-IOYrs-1)*12+1,(G$4-IOYrs)*12,0))))</f>
        <v>-51430.7809485811</v>
      </c>
      <c r="H52" s="71" t="n">
        <f aca="false">-IF(OR($C$49&lt;=0,LoanRate&lt;=0),0,IF(H$4&lt;=IOYrs,0,IF(H$4-IOYrs&gt;AmortYrs,0,-CUMPRINC(LoanRate/12,AmortYrs*12,$C$49,(H$4-IOYrs-1)*12+1,(H$4-IOYrs)*12,0))))</f>
        <v>-55011.8001023074</v>
      </c>
      <c r="I52" s="71" t="n">
        <f aca="false">-IF(OR($C$49&lt;=0,LoanRate&lt;=0),0,IF(I$4&lt;=IOYrs,0,IF(I$4-IOYrs&gt;AmortYrs,0,-CUMPRINC(LoanRate/12,AmortYrs*12,$C$49,(I$4-IOYrs-1)*12+1,(I$4-IOYrs)*12,0))))</f>
        <v>-58842.1582305318</v>
      </c>
      <c r="J52" s="71" t="n">
        <f aca="false">-IF(OR($C$49&lt;=0,LoanRate&lt;=0),0,IF(J$4&lt;=IOYrs,0,IF(J$4-IOYrs&gt;AmortYrs,0,-CUMPRINC(LoanRate/12,AmortYrs*12,$C$49,(J$4-IOYrs-1)*12+1,(J$4-IOYrs)*12,0))))</f>
        <v>-62939.2162915556</v>
      </c>
      <c r="K52" s="71" t="n">
        <f aca="false">-IF(OR($C$49&lt;=0,LoanRate&lt;=0),0,IF(K$4&lt;=IOYrs,0,IF(K$4-IOYrs&gt;AmortYrs,0,-CUMPRINC(LoanRate/12,AmortYrs*12,$C$49,(K$4-IOYrs-1)*12+1,(K$4-IOYrs)*12,0))))</f>
        <v>-67321.5440513833</v>
      </c>
      <c r="L52" s="71" t="n">
        <f aca="false">-IF(OR($C$49&lt;=0,LoanRate&lt;=0),0,IF(L$4&lt;=IOYrs,0,IF(L$4-IOYrs&gt;AmortYrs,0,-CUMPRINC(LoanRate/12,AmortYrs*12,$C$49,(L$4-IOYrs-1)*12+1,(L$4-IOYrs)*12,0))))</f>
        <v>-72009.0042505092</v>
      </c>
      <c r="M52" s="71" t="n">
        <f aca="false">-IF(OR($C$49&lt;=0,LoanRate&lt;=0),0,IF(M$4&lt;=IOYrs,0,IF(M$4-IOYrs&gt;AmortYrs,0,-CUMPRINC(LoanRate/12,AmortYrs*12,$C$49,(M$4-IOYrs-1)*12+1,(M$4-IOYrs)*12,0))))</f>
        <v>-77022.8426310627</v>
      </c>
      <c r="N52" s="71" t="n">
        <f aca="false">-IF(OR($C$49&lt;=0,LoanRate&lt;=0),0,IF(N$4&lt;=IOYrs,0,IF(N$4-IOYrs&gt;AmortYrs,0,-CUMPRINC(LoanRate/12,AmortYrs*12,$C$49,(N$4-IOYrs-1)*12+1,(N$4-IOYrs)*12,0))))</f>
        <v>-82385.7842323587</v>
      </c>
    </row>
    <row r="53" customFormat="false" ht="15" hidden="false" customHeight="false" outlineLevel="0" collapsed="false">
      <c r="A53" s="48" t="s">
        <v>238</v>
      </c>
      <c r="D53" s="71" t="n">
        <f aca="false">D51+D52</f>
        <v>-204187.5</v>
      </c>
      <c r="E53" s="71" t="n">
        <f aca="false">E51+E52</f>
        <v>-204187.5</v>
      </c>
      <c r="F53" s="71" t="n">
        <f aca="false">F51+F52</f>
        <v>-250800.883652191</v>
      </c>
      <c r="G53" s="71" t="n">
        <f aca="false">G51+G52</f>
        <v>-250800.883652191</v>
      </c>
      <c r="H53" s="71" t="n">
        <f aca="false">H51+H52</f>
        <v>-250800.883652191</v>
      </c>
      <c r="I53" s="71" t="n">
        <f aca="false">I51+I52</f>
        <v>-250800.883652191</v>
      </c>
      <c r="J53" s="71" t="n">
        <f aca="false">J51+J52</f>
        <v>-250800.883652191</v>
      </c>
      <c r="K53" s="71" t="n">
        <f aca="false">K51+K52</f>
        <v>-250800.883652191</v>
      </c>
      <c r="L53" s="71" t="n">
        <f aca="false">L51+L52</f>
        <v>-250800.883652191</v>
      </c>
      <c r="M53" s="71" t="n">
        <f aca="false">M51+M52</f>
        <v>-250800.883652191</v>
      </c>
      <c r="N53" s="71" t="n">
        <f aca="false">N51+N52</f>
        <v>-250800.883652191</v>
      </c>
    </row>
    <row r="54" customFormat="false" ht="15" hidden="false" customHeight="false" outlineLevel="0" collapsed="false">
      <c r="A54" s="48" t="s">
        <v>239</v>
      </c>
      <c r="C54" s="71" t="n">
        <f aca="false">C49</f>
        <v>3025000</v>
      </c>
      <c r="D54" s="71" t="n">
        <f aca="false">C54+D52</f>
        <v>3025000</v>
      </c>
      <c r="E54" s="71" t="n">
        <f aca="false">D54+E52</f>
        <v>3025000</v>
      </c>
      <c r="F54" s="71" t="n">
        <f aca="false">E54+F52</f>
        <v>2976917.13006916</v>
      </c>
      <c r="G54" s="71" t="n">
        <f aca="false">F54+G52</f>
        <v>2925486.34912057</v>
      </c>
      <c r="H54" s="71" t="n">
        <f aca="false">G54+H52</f>
        <v>2870474.54901827</v>
      </c>
      <c r="I54" s="71" t="n">
        <f aca="false">H54+I52</f>
        <v>2811632.39078773</v>
      </c>
      <c r="J54" s="71" t="n">
        <f aca="false">I54+J52</f>
        <v>2748693.17449618</v>
      </c>
      <c r="K54" s="71" t="n">
        <f aca="false">J54+K52</f>
        <v>2681371.6304448</v>
      </c>
      <c r="L54" s="71" t="n">
        <f aca="false">K54+L52</f>
        <v>2609362.62619429</v>
      </c>
      <c r="M54" s="71" t="n">
        <f aca="false">L54+M52</f>
        <v>2532339.78356322</v>
      </c>
      <c r="N54" s="71" t="n">
        <f aca="false">M54+N52</f>
        <v>2449953.99933087</v>
      </c>
    </row>
    <row r="55" customFormat="false" ht="15" hidden="false" customHeight="false" outlineLevel="0" collapsed="false">
      <c r="A55" s="48" t="s">
        <v>240</v>
      </c>
      <c r="D55" s="71" t="n">
        <f aca="false">-D$6*D54</f>
        <v>-0</v>
      </c>
      <c r="E55" s="71" t="n">
        <f aca="false">-E$6*E54</f>
        <v>-0</v>
      </c>
      <c r="F55" s="71" t="n">
        <f aca="false">-F$6*F54</f>
        <v>-0</v>
      </c>
      <c r="G55" s="71" t="n">
        <f aca="false">-G$6*G54</f>
        <v>-0</v>
      </c>
      <c r="H55" s="71" t="n">
        <f aca="false">-H$6*H54</f>
        <v>-0</v>
      </c>
      <c r="I55" s="71" t="n">
        <f aca="false">-I$6*I54</f>
        <v>-0</v>
      </c>
      <c r="J55" s="71" t="n">
        <f aca="false">-J$6*J54</f>
        <v>-2748693.17449618</v>
      </c>
      <c r="K55" s="71" t="n">
        <f aca="false">-K$6*K54</f>
        <v>-0</v>
      </c>
      <c r="L55" s="71" t="n">
        <f aca="false">-L$6*L54</f>
        <v>-0</v>
      </c>
      <c r="M55" s="71" t="n">
        <f aca="false">-M$6*M54</f>
        <v>-0</v>
      </c>
      <c r="N55" s="71" t="n">
        <f aca="false">-N$6*N54</f>
        <v>-0</v>
      </c>
    </row>
    <row r="56" customFormat="false" ht="15" hidden="false" customHeight="false" outlineLevel="0" collapsed="false">
      <c r="A56" s="86" t="s">
        <v>241</v>
      </c>
      <c r="C56" s="87" t="n">
        <f aca="false">C46+C49+C50</f>
        <v>-2587750</v>
      </c>
      <c r="D56" s="87" t="n">
        <f aca="false">D46+D53*D$5+D55</f>
        <v>111127.5</v>
      </c>
      <c r="E56" s="87" t="n">
        <f aca="false">E46+E53*E$5+E55</f>
        <v>204671.7</v>
      </c>
      <c r="F56" s="87" t="n">
        <f aca="false">F46+F53*F$5+F55</f>
        <v>208208.110347809</v>
      </c>
      <c r="G56" s="87" t="n">
        <f aca="false">G46+G53*G$5+G55</f>
        <v>221978.380167809</v>
      </c>
      <c r="H56" s="87" t="n">
        <f aca="false">H46+H53*H$5+H55</f>
        <v>236161.758082409</v>
      </c>
      <c r="I56" s="87" t="n">
        <f aca="false">I46+I53*I$5+I55</f>
        <v>224999.974662758</v>
      </c>
      <c r="J56" s="87" t="n">
        <f aca="false">J46+J53*J$5+J55</f>
        <v>4557460.65412464</v>
      </c>
      <c r="K56" s="87" t="n">
        <f aca="false">K46+K53*K$5+K55</f>
        <v>0</v>
      </c>
      <c r="L56" s="87" t="n">
        <f aca="false">L46+L53*L$5+L55</f>
        <v>0</v>
      </c>
      <c r="M56" s="87" t="n">
        <f aca="false">M46+M53*M$5+M55</f>
        <v>0</v>
      </c>
      <c r="N56" s="87" t="n">
        <f aca="false">N46+N53*N$5+N55</f>
        <v>0</v>
      </c>
    </row>
    <row r="57" customFormat="false" ht="15" hidden="false" customHeight="false" outlineLevel="0" collapsed="false">
      <c r="A57" s="48" t="s">
        <v>242</v>
      </c>
      <c r="D57" s="95" t="n">
        <f aca="false">IF(AND(D$5=1,-$C$56&gt;0),(D40+D41+D53)/-$C$56,"")</f>
        <v>0.0429436769394261</v>
      </c>
      <c r="E57" s="95" t="n">
        <f aca="false">IF(AND(E$5=1,-$C$56&gt;0),(E40+E41+E53)/-$C$56,"")</f>
        <v>0.0790925321225003</v>
      </c>
      <c r="F57" s="95" t="n">
        <f aca="false">IF(AND(F$5=1,-$C$56&gt;0),(F40+F41+F53)/-$C$56,"")</f>
        <v>0.080459128721016</v>
      </c>
      <c r="G57" s="95" t="n">
        <f aca="false">IF(AND(G$5=1,-$C$56&gt;0),(G40+G41+G53)/-$C$56,"")</f>
        <v>0.085780457991618</v>
      </c>
      <c r="H57" s="95" t="n">
        <f aca="false">IF(AND(H$5=1,-$C$56&gt;0),(H40+H41+H53)/-$C$56,"")</f>
        <v>0.0912614271403379</v>
      </c>
      <c r="I57" s="95" t="n">
        <f aca="false">IF(AND(I$5=1,-$C$56&gt;0),(I40+I41+I53)/-$C$56,"")</f>
        <v>0.0869481111632725</v>
      </c>
      <c r="J57" s="95" t="n">
        <f aca="false">IF(AND(J$5=1,-$C$56&gt;0),(J40+J41+J53)/-$C$56,"")</f>
        <v>0.0924641099071421</v>
      </c>
      <c r="K57" s="95" t="str">
        <f aca="false">IF(AND(K$5=1,-$C$56&gt;0),(K40+K41+K53)/-$C$56,"")</f>
        <v/>
      </c>
      <c r="L57" s="95" t="str">
        <f aca="false">IF(AND(L$5=1,-$C$56&gt;0),(L40+L41+L53)/-$C$56,"")</f>
        <v/>
      </c>
      <c r="M57" s="95" t="str">
        <f aca="false">IF(AND(M$5=1,-$C$56&gt;0),(M40+M41+M53)/-$C$56,"")</f>
        <v/>
      </c>
      <c r="N57" s="95" t="str">
        <f aca="false">IF(AND(N$5=1,-$C$56&gt;0),(N40+N41+N53)/-$C$56,"")</f>
        <v/>
      </c>
    </row>
    <row r="58" customFormat="false" ht="15" hidden="false" customHeight="false" outlineLevel="0" collapsed="false">
      <c r="A58" s="48" t="s">
        <v>243</v>
      </c>
      <c r="D58" s="96" t="n">
        <f aca="false">IF(AND(D$5=1,D53&lt;0),D30/-D53,"")</f>
        <v>2.09520661157025</v>
      </c>
      <c r="E58" s="96" t="n">
        <f aca="false">IF(AND(E$5=1,E53&lt;0),E30/-E53,"")</f>
        <v>2.22275702479339</v>
      </c>
      <c r="F58" s="96" t="n">
        <f aca="false">IF(AND(F$5=1,F53&lt;0),F30/-F53,"")</f>
        <v>1.83017295360311</v>
      </c>
      <c r="G58" s="96" t="n">
        <f aca="false">IF(AND(G$5=1,G53&lt;0),G30/-G53,"")</f>
        <v>1.8850781422112</v>
      </c>
      <c r="H58" s="96" t="n">
        <f aca="false">IF(AND(H$5=1,H53&lt;0),H30/-H53,"")</f>
        <v>1.94163048647754</v>
      </c>
      <c r="I58" s="96" t="n">
        <f aca="false">IF(AND(I$5=1,I53&lt;0),I30/-I53,"")</f>
        <v>1.89712592470283</v>
      </c>
      <c r="J58" s="96" t="n">
        <f aca="false">IF(AND(J$5=1,J53&lt;0),J30/-J53,"")</f>
        <v>1.95403970244391</v>
      </c>
      <c r="K58" s="96" t="str">
        <f aca="false">IF(AND(K$5=1,K53&lt;0),K30/-K53,"")</f>
        <v/>
      </c>
      <c r="L58" s="96" t="str">
        <f aca="false">IF(AND(L$5=1,L53&lt;0),L30/-L53,"")</f>
        <v/>
      </c>
      <c r="M58" s="96" t="str">
        <f aca="false">IF(AND(M$5=1,M53&lt;0),M30/-M53,"")</f>
        <v/>
      </c>
      <c r="N58" s="96" t="str">
        <f aca="false">IF(AND(N$5=1,N53&lt;0),N30/-N53,"")</f>
        <v/>
      </c>
    </row>
    <row r="60" customFormat="false" ht="15" hidden="false" customHeight="false" outlineLevel="0" collapsed="false">
      <c r="A60" s="57" t="s">
        <v>244</v>
      </c>
      <c r="B60" s="57"/>
      <c r="C60" s="57"/>
      <c r="D60" s="57"/>
      <c r="E60" s="57"/>
      <c r="F60" s="57"/>
      <c r="G60" s="57"/>
      <c r="H60" s="57"/>
      <c r="I60" s="57"/>
      <c r="J60" s="57"/>
      <c r="K60" s="57"/>
      <c r="L60" s="57"/>
      <c r="M60" s="57"/>
      <c r="N60" s="57"/>
    </row>
    <row r="61" customFormat="false" ht="15" hidden="false" customHeight="false" outlineLevel="0" collapsed="false">
      <c r="A61" s="48" t="s">
        <v>245</v>
      </c>
      <c r="D61" s="97" t="n">
        <f aca="false">1/(1+TgtUnlev)^D$4</f>
        <v>0.909090909090909</v>
      </c>
      <c r="E61" s="97" t="n">
        <f aca="false">1/(1+TgtUnlev)^E$4</f>
        <v>0.826446280991735</v>
      </c>
      <c r="F61" s="97" t="n">
        <f aca="false">1/(1+TgtUnlev)^F$4</f>
        <v>0.751314800901578</v>
      </c>
      <c r="G61" s="97" t="n">
        <f aca="false">1/(1+TgtUnlev)^G$4</f>
        <v>0.683013455365071</v>
      </c>
      <c r="H61" s="97" t="n">
        <f aca="false">1/(1+TgtUnlev)^H$4</f>
        <v>0.620921323059155</v>
      </c>
      <c r="I61" s="97" t="n">
        <f aca="false">1/(1+TgtUnlev)^I$4</f>
        <v>0.564473930053777</v>
      </c>
      <c r="J61" s="97" t="n">
        <f aca="false">1/(1+TgtUnlev)^J$4</f>
        <v>0.513158118230707</v>
      </c>
      <c r="K61" s="97" t="n">
        <f aca="false">1/(1+TgtUnlev)^K$4</f>
        <v>0.466507380209733</v>
      </c>
      <c r="L61" s="97" t="n">
        <f aca="false">1/(1+TgtUnlev)^L$4</f>
        <v>0.424097618372485</v>
      </c>
      <c r="M61" s="97" t="n">
        <f aca="false">1/(1+TgtUnlev)^M$4</f>
        <v>0.385543289429531</v>
      </c>
      <c r="N61" s="97" t="n">
        <f aca="false">1/(1+TgtUnlev)^N$4</f>
        <v>0.350493899481392</v>
      </c>
    </row>
    <row r="62" customFormat="false" ht="15" hidden="false" customHeight="false" outlineLevel="0" collapsed="false">
      <c r="A62" s="48" t="s">
        <v>246</v>
      </c>
      <c r="D62" s="71" t="n">
        <f aca="false">D31*D$5+D41+D$6*(1-SaleCost)*E31/ExitCap</f>
        <v>315315</v>
      </c>
      <c r="E62" s="71" t="n">
        <f aca="false">E31*E$5+E41+E$6*(1-SaleCost)*F31/ExitCap</f>
        <v>408859.2</v>
      </c>
      <c r="F62" s="71" t="n">
        <f aca="false">F31*F$5+F41+F$6*(1-SaleCost)*G31/ExitCap</f>
        <v>459008.994</v>
      </c>
      <c r="G62" s="71" t="n">
        <f aca="false">G31*G$5+G41+G$6*(1-SaleCost)*H31/ExitCap</f>
        <v>472779.26382</v>
      </c>
      <c r="H62" s="71" t="n">
        <f aca="false">H31*H$5+H41+H$6*(1-SaleCost)*I31/ExitCap</f>
        <v>486962.6417346</v>
      </c>
      <c r="I62" s="71" t="n">
        <f aca="false">I31*I$5+I41+I$6*(1-SaleCost)*J31/ExitCap</f>
        <v>475800.858314949</v>
      </c>
      <c r="J62" s="71" t="n">
        <f aca="false">J31*J$5+J41+J$6*(1-SaleCost)*K31/ExitCap</f>
        <v>7556954.71227301</v>
      </c>
      <c r="K62" s="71" t="n">
        <f aca="false">K31*K$5+K41+K$6*(1-SaleCost)*L31/ExitCap</f>
        <v>0</v>
      </c>
      <c r="L62" s="71" t="n">
        <f aca="false">L31*L$5+L41+L$6*(1-SaleCost)*M31/ExitCap</f>
        <v>0</v>
      </c>
      <c r="M62" s="71" t="n">
        <f aca="false">M31*M$5+M41+M$6*(1-SaleCost)*N31/ExitCap</f>
        <v>0</v>
      </c>
      <c r="N62" s="71" t="n">
        <f aca="false">N31*N$5+N41+N$6*(1-SaleCost)*O31/ExitCap</f>
        <v>0</v>
      </c>
    </row>
    <row r="63" customFormat="false" ht="15" hidden="false" customHeight="false" outlineLevel="0" collapsed="false">
      <c r="A63" s="48" t="s">
        <v>247</v>
      </c>
      <c r="D63" s="97" t="n">
        <f aca="false">D32*D$5+D$6*(1-SaleCost)*E32/ExitCap</f>
        <v>0</v>
      </c>
      <c r="E63" s="97" t="n">
        <f aca="false">E32*E$5+E$6*(1-SaleCost)*F32/ExitCap</f>
        <v>0</v>
      </c>
      <c r="F63" s="97" t="n">
        <f aca="false">F32*F$5+F$6*(1-SaleCost)*G32/ExitCap</f>
        <v>0</v>
      </c>
      <c r="G63" s="97" t="n">
        <f aca="false">G32*G$5+G$6*(1-SaleCost)*H32/ExitCap</f>
        <v>0</v>
      </c>
      <c r="H63" s="97" t="n">
        <f aca="false">H32*H$5+H$6*(1-SaleCost)*I32/ExitCap</f>
        <v>0</v>
      </c>
      <c r="I63" s="97" t="n">
        <f aca="false">I32*I$5+I$6*(1-SaleCost)*J32/ExitCap</f>
        <v>0</v>
      </c>
      <c r="J63" s="97" t="n">
        <f aca="false">J32*J$5+J$6*(1-SaleCost)*K32/ExitCap</f>
        <v>0</v>
      </c>
      <c r="K63" s="97" t="n">
        <f aca="false">K32*K$5+K$6*(1-SaleCost)*L32/ExitCap</f>
        <v>0</v>
      </c>
      <c r="L63" s="97" t="n">
        <f aca="false">L32*L$5+L$6*(1-SaleCost)*M32/ExitCap</f>
        <v>0</v>
      </c>
      <c r="M63" s="97" t="n">
        <f aca="false">M32*M$5+M$6*(1-SaleCost)*N32/ExitCap</f>
        <v>0</v>
      </c>
      <c r="N63" s="97" t="n">
        <f aca="false">N32*N$5+N$6*(1-SaleCost)*O32/ExitCap</f>
        <v>0</v>
      </c>
    </row>
    <row r="65" customFormat="false" ht="15" hidden="false" customHeight="false" outlineLevel="0" collapsed="false">
      <c r="A65" s="57" t="s">
        <v>248</v>
      </c>
      <c r="B65" s="57"/>
      <c r="C65" s="57"/>
      <c r="D65" s="57"/>
      <c r="E65" s="57"/>
      <c r="F65" s="57"/>
      <c r="G65" s="57"/>
      <c r="H65" s="57"/>
      <c r="I65" s="57"/>
      <c r="J65" s="57"/>
      <c r="K65" s="57"/>
      <c r="L65" s="57"/>
      <c r="M65" s="57"/>
      <c r="N65" s="57"/>
    </row>
    <row r="66" customFormat="false" ht="15" hidden="false" customHeight="false" outlineLevel="0" collapsed="false">
      <c r="A66" s="79" t="s">
        <v>249</v>
      </c>
      <c r="C66" s="98" t="n">
        <f aca="false">IFERROR(IRR(C46:N46),IFERROR(IRR(C46:N46,-0.15),IFERROR(IRR(C46:N46,-0.3),"n/m")))</f>
        <v>0.105295407645052</v>
      </c>
    </row>
    <row r="67" customFormat="false" ht="15" hidden="false" customHeight="false" outlineLevel="0" collapsed="false">
      <c r="A67" s="48" t="s">
        <v>250</v>
      </c>
      <c r="C67" s="96" t="n">
        <f aca="false">SUMIF(C46:N46,"&gt;0")/-SUMIF(C46:N46,"&lt;0")</f>
        <v>1.82278202779087</v>
      </c>
    </row>
    <row r="68" customFormat="false" ht="15" hidden="false" customHeight="false" outlineLevel="0" collapsed="false">
      <c r="A68" s="79" t="s">
        <v>251</v>
      </c>
      <c r="C68" s="98" t="n">
        <f aca="false">IFERROR(IRR(C56:N56),IFERROR(IRR(C56:N56,-0.15),IFERROR(IRR(C56:N56,-0.3),"n/m")))</f>
        <v>0.138939006987421</v>
      </c>
    </row>
    <row r="69" customFormat="false" ht="15" hidden="false" customHeight="false" outlineLevel="0" collapsed="false">
      <c r="A69" s="48" t="s">
        <v>252</v>
      </c>
      <c r="C69" s="96" t="n">
        <f aca="false">SUMIF(C56:N56,"&gt;0")/-SUMIF(C56:N56,"&lt;0")</f>
        <v>2.2276526238568</v>
      </c>
    </row>
    <row r="70" customFormat="false" ht="15" hidden="false" customHeight="false" outlineLevel="0" collapsed="false">
      <c r="A70" s="48" t="s">
        <v>253</v>
      </c>
      <c r="C70" s="99" t="n">
        <f aca="false">D30/PurchPrice</f>
        <v>0.0777845454545455</v>
      </c>
    </row>
    <row r="71" customFormat="false" ht="15" hidden="false" customHeight="false" outlineLevel="0" collapsed="false">
      <c r="A71" s="48" t="s">
        <v>254</v>
      </c>
      <c r="C71" s="99" t="n">
        <f aca="false">E30/(PurchPrice*(1+CloseCost)-SUMPRODUCT(D35:N35,D5:N5))</f>
        <v>0.0790695470383275</v>
      </c>
    </row>
    <row r="72" customFormat="false" ht="15" hidden="false" customHeight="false" outlineLevel="0" collapsed="false">
      <c r="A72" s="48" t="s">
        <v>255</v>
      </c>
      <c r="C72" s="71" t="n">
        <f aca="false">-C56</f>
        <v>2587750</v>
      </c>
    </row>
    <row r="73" customFormat="false" ht="15" hidden="false" customHeight="false" outlineLevel="0" collapsed="false">
      <c r="A73" s="48" t="s">
        <v>256</v>
      </c>
      <c r="C73" s="99" t="n">
        <f aca="false">IF(COUNT(D57:N57)=0,0,AVERAGE(D57:N57))</f>
        <v>0.0798499205693304</v>
      </c>
    </row>
    <row r="74" customFormat="false" ht="15" hidden="false" customHeight="false" outlineLevel="0" collapsed="false">
      <c r="A74" s="48" t="s">
        <v>257</v>
      </c>
      <c r="C74" s="96" t="n">
        <f aca="false">IF(COUNT(D58:N58)=0,0,MIN(D58:N58))</f>
        <v>1.83017295360311</v>
      </c>
    </row>
    <row r="75" customFormat="false" ht="15" hidden="false" customHeight="false" outlineLevel="0" collapsed="false">
      <c r="A75" s="48" t="s">
        <v>229</v>
      </c>
      <c r="C75" s="71" t="n">
        <f aca="false">SUM(D43:N43)</f>
        <v>7211101.86551899</v>
      </c>
    </row>
    <row r="76" customFormat="false" ht="15" hidden="false" customHeight="false" outlineLevel="0" collapsed="false">
      <c r="A76" s="48" t="s">
        <v>258</v>
      </c>
      <c r="C76" s="71" t="n">
        <f aca="false">SUM(D45:N45)</f>
        <v>7066879.82820861</v>
      </c>
    </row>
    <row r="77" customFormat="false" ht="15" hidden="false" customHeight="false" outlineLevel="0" collapsed="false">
      <c r="A77" s="48" t="s">
        <v>259</v>
      </c>
      <c r="C77" s="71" t="n">
        <f aca="false">-SUM(D55:N55)</f>
        <v>2748693.17449618</v>
      </c>
    </row>
    <row r="78" customFormat="false" ht="15" hidden="false" customHeight="false" outlineLevel="0" collapsed="false">
      <c r="A78" s="48" t="s">
        <v>260</v>
      </c>
      <c r="C78" s="71" t="n">
        <f aca="false">D30</f>
        <v>427815</v>
      </c>
    </row>
    <row r="79" customFormat="false" ht="15" hidden="false" customHeight="false" outlineLevel="0" collapsed="false">
      <c r="A79" s="48" t="s">
        <v>261</v>
      </c>
      <c r="C79" s="71" t="n">
        <f aca="false">C49</f>
        <v>3025000</v>
      </c>
    </row>
    <row r="80" customFormat="false" ht="15" hidden="false" customHeight="false" outlineLevel="0" collapsed="false">
      <c r="A80" s="79" t="s">
        <v>262</v>
      </c>
      <c r="C80" s="80" t="n">
        <f aca="false">SUMPRODUCT(D62:N62,D61:N61)/(1+CloseCost+SUMPRODUCT(D63:N63,D61:N61))</f>
        <v>5656335.31304628</v>
      </c>
    </row>
    <row r="81" customFormat="false" ht="15" hidden="false" customHeight="false" outlineLevel="0" collapsed="false">
      <c r="A81" s="48" t="s">
        <v>263</v>
      </c>
      <c r="C81" s="71" t="n">
        <f aca="false">C80/Acres</f>
        <v>152873.927379629</v>
      </c>
    </row>
    <row r="82" customFormat="false" ht="15" hidden="false" customHeight="false" outlineLevel="0" collapsed="false">
      <c r="A82" s="48" t="s">
        <v>264</v>
      </c>
      <c r="C82" s="100" t="n">
        <f aca="false">PurchPrice/C80-1</f>
        <v>-0.0276389754839479</v>
      </c>
    </row>
    <row r="83" customFormat="false" ht="15" hidden="false" customHeight="false" outlineLevel="0" collapsed="false">
      <c r="A83" s="48" t="s">
        <v>265</v>
      </c>
      <c r="C83" s="71" t="n">
        <f aca="false">PurchPrice*TaxRate</f>
        <v>121000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B7A88"/>
    <pageSetUpPr fitToPage="false"/>
  </sheetPr>
  <dimension ref="A1:O1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1"/>
    <col collapsed="false" customWidth="true" hidden="false" outlineLevel="0" max="15" min="3" style="0" width="12"/>
  </cols>
  <sheetData>
    <row r="1" customFormat="false" ht="19.7" hidden="false" customHeight="false" outlineLevel="0" collapsed="false">
      <c r="A1" s="43" t="s">
        <v>266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</row>
    <row r="2" customFormat="false" ht="15" hidden="false" customHeight="false" outlineLevel="0" collapsed="false">
      <c r="A2" s="45" t="s">
        <v>267</v>
      </c>
    </row>
    <row r="4" customFormat="false" ht="15" hidden="false" customHeight="false" outlineLevel="0" collapsed="false">
      <c r="A4" s="79" t="s">
        <v>194</v>
      </c>
      <c r="C4" s="101" t="n">
        <f aca="false">CashFlow!C4</f>
        <v>0</v>
      </c>
      <c r="D4" s="101" t="n">
        <f aca="false">CashFlow!D4</f>
        <v>1</v>
      </c>
      <c r="E4" s="101" t="n">
        <f aca="false">CashFlow!E4</f>
        <v>2</v>
      </c>
      <c r="F4" s="101" t="n">
        <f aca="false">CashFlow!F4</f>
        <v>3</v>
      </c>
      <c r="G4" s="101" t="n">
        <f aca="false">CashFlow!G4</f>
        <v>4</v>
      </c>
      <c r="H4" s="101" t="n">
        <f aca="false">CashFlow!H4</f>
        <v>5</v>
      </c>
      <c r="I4" s="101" t="n">
        <f aca="false">CashFlow!I4</f>
        <v>6</v>
      </c>
      <c r="J4" s="101" t="n">
        <f aca="false">CashFlow!J4</f>
        <v>7</v>
      </c>
      <c r="K4" s="101" t="n">
        <f aca="false">CashFlow!K4</f>
        <v>8</v>
      </c>
      <c r="L4" s="101" t="n">
        <f aca="false">CashFlow!L4</f>
        <v>9</v>
      </c>
      <c r="M4" s="101" t="n">
        <f aca="false">CashFlow!M4</f>
        <v>10</v>
      </c>
      <c r="N4" s="101" t="n">
        <f aca="false">CashFlow!N4</f>
        <v>11</v>
      </c>
    </row>
    <row r="6" customFormat="false" ht="15" hidden="false" customHeight="false" outlineLevel="0" collapsed="false">
      <c r="A6" s="57" t="s">
        <v>268</v>
      </c>
      <c r="B6" s="102" t="n">
        <f aca="false">(0-2)*StepG</f>
        <v>-0.02</v>
      </c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</row>
    <row r="7" customFormat="false" ht="15" hidden="false" customHeight="false" outlineLevel="0" collapsed="false">
      <c r="A7" s="91" t="str">
        <f aca="false">RentRoll!B6</f>
        <v>S&amp;A Leasing</v>
      </c>
      <c r="D7" s="71" t="n">
        <f aca="false">RentRoll!$H$6*RentRoll!$P$6*(1+IF(RentRoll!$I$6="",RentGrowth+$B$6,RentRoll!$I$6))^(D$4-1)*(MAX(0,MIN(12*D$4,IF(RentRoll!$K$6="",99999,RentRoll!$K$6))-MAX(12*(D$4-1),RentRoll!$R$6))+RentRoll!$L$6*MAX(0,12*D$4-MAX(12*(D$4-1),IF(RentRoll!$K$6="",99999,RentRoll!$K$6),RentRoll!$R$6)))/12</f>
        <v>156000</v>
      </c>
      <c r="E7" s="71" t="n">
        <f aca="false">RentRoll!$H$6*RentRoll!$P$6*(1+IF(RentRoll!$I$6="",RentGrowth+$B$6,RentRoll!$I$6))^(E$4-1)*(MAX(0,MIN(12*E$4,IF(RentRoll!$K$6="",99999,RentRoll!$K$6))-MAX(12*(E$4-1),RentRoll!$R$6))+RentRoll!$L$6*MAX(0,12*E$4-MAX(12*(E$4-1),IF(RentRoll!$K$6="",99999,RentRoll!$K$6),RentRoll!$R$6)))/12</f>
        <v>160680</v>
      </c>
      <c r="F7" s="71" t="n">
        <f aca="false">RentRoll!$H$6*RentRoll!$P$6*(1+IF(RentRoll!$I$6="",RentGrowth+$B$6,RentRoll!$I$6))^(F$4-1)*(MAX(0,MIN(12*F$4,IF(RentRoll!$K$6="",99999,RentRoll!$K$6))-MAX(12*(F$4-1),RentRoll!$R$6))+RentRoll!$L$6*MAX(0,12*F$4-MAX(12*(F$4-1),IF(RentRoll!$K$6="",99999,RentRoll!$K$6),RentRoll!$R$6)))/12</f>
        <v>165500.4</v>
      </c>
      <c r="G7" s="71" t="n">
        <f aca="false">RentRoll!$H$6*RentRoll!$P$6*(1+IF(RentRoll!$I$6="",RentGrowth+$B$6,RentRoll!$I$6))^(G$4-1)*(MAX(0,MIN(12*G$4,IF(RentRoll!$K$6="",99999,RentRoll!$K$6))-MAX(12*(G$4-1),RentRoll!$R$6))+RentRoll!$L$6*MAX(0,12*G$4-MAX(12*(G$4-1),IF(RentRoll!$K$6="",99999,RentRoll!$K$6),RentRoll!$R$6)))/12</f>
        <v>170465.412</v>
      </c>
      <c r="H7" s="71" t="n">
        <f aca="false">RentRoll!$H$6*RentRoll!$P$6*(1+IF(RentRoll!$I$6="",RentGrowth+$B$6,RentRoll!$I$6))^(H$4-1)*(MAX(0,MIN(12*H$4,IF(RentRoll!$K$6="",99999,RentRoll!$K$6))-MAX(12*(H$4-1),RentRoll!$R$6))+RentRoll!$L$6*MAX(0,12*H$4-MAX(12*(H$4-1),IF(RentRoll!$K$6="",99999,RentRoll!$K$6),RentRoll!$R$6)))/12</f>
        <v>175579.37436</v>
      </c>
      <c r="I7" s="71" t="n">
        <f aca="false">RentRoll!$H$6*RentRoll!$P$6*(1+IF(RentRoll!$I$6="",RentGrowth+$B$6,RentRoll!$I$6))^(I$4-1)*(MAX(0,MIN(12*I$4,IF(RentRoll!$K$6="",99999,RentRoll!$K$6))-MAX(12*(I$4-1),RentRoll!$R$6))+RentRoll!$L$6*MAX(0,12*I$4-MAX(12*(I$4-1),IF(RentRoll!$K$6="",99999,RentRoll!$K$6),RentRoll!$R$6)))/12</f>
        <v>153719.74225218</v>
      </c>
      <c r="J7" s="71" t="n">
        <f aca="false">RentRoll!$H$6*RentRoll!$P$6*(1+IF(RentRoll!$I$6="",RentGrowth+$B$6,RentRoll!$I$6))^(J$4-1)*(MAX(0,MIN(12*J$4,IF(RentRoll!$K$6="",99999,RentRoll!$K$6))-MAX(12*(J$4-1),RentRoll!$R$6))+RentRoll!$L$6*MAX(0,12*J$4-MAX(12*(J$4-1),IF(RentRoll!$K$6="",99999,RentRoll!$K$6),RentRoll!$R$6)))/12</f>
        <v>158331.334519745</v>
      </c>
      <c r="K7" s="71" t="n">
        <f aca="false">RentRoll!$H$6*RentRoll!$P$6*(1+IF(RentRoll!$I$6="",RentGrowth+$B$6,RentRoll!$I$6))^(K$4-1)*(MAX(0,MIN(12*K$4,IF(RentRoll!$K$6="",99999,RentRoll!$K$6))-MAX(12*(K$4-1),RentRoll!$R$6))+RentRoll!$L$6*MAX(0,12*K$4-MAX(12*(K$4-1),IF(RentRoll!$K$6="",99999,RentRoll!$K$6),RentRoll!$R$6)))/12</f>
        <v>163081.274555338</v>
      </c>
      <c r="L7" s="71" t="n">
        <f aca="false">RentRoll!$H$6*RentRoll!$P$6*(1+IF(RentRoll!$I$6="",RentGrowth+$B$6,RentRoll!$I$6))^(L$4-1)*(MAX(0,MIN(12*L$4,IF(RentRoll!$K$6="",99999,RentRoll!$K$6))-MAX(12*(L$4-1),RentRoll!$R$6))+RentRoll!$L$6*MAX(0,12*L$4-MAX(12*(L$4-1),IF(RentRoll!$K$6="",99999,RentRoll!$K$6),RentRoll!$R$6)))/12</f>
        <v>167973.712791998</v>
      </c>
      <c r="M7" s="71" t="n">
        <f aca="false">RentRoll!$H$6*RentRoll!$P$6*(1+IF(RentRoll!$I$6="",RentGrowth+$B$6,RentRoll!$I$6))^(M$4-1)*(MAX(0,MIN(12*M$4,IF(RentRoll!$K$6="",99999,RentRoll!$K$6))-MAX(12*(M$4-1),RentRoll!$R$6))+RentRoll!$L$6*MAX(0,12*M$4-MAX(12*(M$4-1),IF(RentRoll!$K$6="",99999,RentRoll!$K$6),RentRoll!$R$6)))/12</f>
        <v>173012.924175758</v>
      </c>
      <c r="N7" s="71" t="n">
        <f aca="false">RentRoll!$H$6*RentRoll!$P$6*(1+IF(RentRoll!$I$6="",RentGrowth+$B$6,RentRoll!$I$6))^(N$4-1)*(MAX(0,MIN(12*N$4,IF(RentRoll!$K$6="",99999,RentRoll!$K$6))-MAX(12*(N$4-1),RentRoll!$R$6))+RentRoll!$L$6*MAX(0,12*N$4-MAX(12*(N$4-1),IF(RentRoll!$K$6="",99999,RentRoll!$K$6),RentRoll!$R$6)))/12</f>
        <v>178203.311901031</v>
      </c>
    </row>
    <row r="8" customFormat="false" ht="15" hidden="false" customHeight="false" outlineLevel="0" collapsed="false">
      <c r="A8" s="91" t="str">
        <f aca="false">RentRoll!B7</f>
        <v>Reindeer (Prime)</v>
      </c>
      <c r="D8" s="71" t="n">
        <f aca="false">RentRoll!$H$7*RentRoll!$P$7*(1+IF(RentRoll!$I$7="",RentGrowth+$B$6,RentRoll!$I$7))^(D$4-1)*(MAX(0,MIN(12*D$4,IF(RentRoll!$K$7="",99999,RentRoll!$K$7))-MAX(12*(D$4-1),RentRoll!$R$7))+RentRoll!$L$7*MAX(0,12*D$4-MAX(12*(D$4-1),IF(RentRoll!$K$7="",99999,RentRoll!$K$7),RentRoll!$R$7)))/12</f>
        <v>84000</v>
      </c>
      <c r="E8" s="71" t="n">
        <f aca="false">RentRoll!$H$7*RentRoll!$P$7*(1+IF(RentRoll!$I$7="",RentGrowth+$B$6,RentRoll!$I$7))^(E$4-1)*(MAX(0,MIN(12*E$4,IF(RentRoll!$K$7="",99999,RentRoll!$K$7))-MAX(12*(E$4-1),RentRoll!$R$7))+RentRoll!$L$7*MAX(0,12*E$4-MAX(12*(E$4-1),IF(RentRoll!$K$7="",99999,RentRoll!$K$7),RentRoll!$R$7)))/12</f>
        <v>84840</v>
      </c>
      <c r="F8" s="71" t="n">
        <f aca="false">RentRoll!$H$7*RentRoll!$P$7*(1+IF(RentRoll!$I$7="",RentGrowth+$B$6,RentRoll!$I$7))^(F$4-1)*(MAX(0,MIN(12*F$4,IF(RentRoll!$K$7="",99999,RentRoll!$K$7))-MAX(12*(F$4-1),RentRoll!$R$7))+RentRoll!$L$7*MAX(0,12*F$4-MAX(12*(F$4-1),IF(RentRoll!$K$7="",99999,RentRoll!$K$7),RentRoll!$R$7)))/12</f>
        <v>77119.56</v>
      </c>
      <c r="G8" s="71" t="n">
        <f aca="false">RentRoll!$H$7*RentRoll!$P$7*(1+IF(RentRoll!$I$7="",RentGrowth+$B$6,RentRoll!$I$7))^(G$4-1)*(MAX(0,MIN(12*G$4,IF(RentRoll!$K$7="",99999,RentRoll!$K$7))-MAX(12*(G$4-1),RentRoll!$R$7))+RentRoll!$L$7*MAX(0,12*G$4-MAX(12*(G$4-1),IF(RentRoll!$K$7="",99999,RentRoll!$K$7),RentRoll!$R$7)))/12</f>
        <v>77890.7556</v>
      </c>
      <c r="H8" s="71" t="n">
        <f aca="false">RentRoll!$H$7*RentRoll!$P$7*(1+IF(RentRoll!$I$7="",RentGrowth+$B$6,RentRoll!$I$7))^(H$4-1)*(MAX(0,MIN(12*H$4,IF(RentRoll!$K$7="",99999,RentRoll!$K$7))-MAX(12*(H$4-1),RentRoll!$R$7))+RentRoll!$L$7*MAX(0,12*H$4-MAX(12*(H$4-1),IF(RentRoll!$K$7="",99999,RentRoll!$K$7),RentRoll!$R$7)))/12</f>
        <v>78669.663156</v>
      </c>
      <c r="I8" s="71" t="n">
        <f aca="false">RentRoll!$H$7*RentRoll!$P$7*(1+IF(RentRoll!$I$7="",RentGrowth+$B$6,RentRoll!$I$7))^(I$4-1)*(MAX(0,MIN(12*I$4,IF(RentRoll!$K$7="",99999,RentRoll!$K$7))-MAX(12*(I$4-1),RentRoll!$R$7))+RentRoll!$L$7*MAX(0,12*I$4-MAX(12*(I$4-1),IF(RentRoll!$K$7="",99999,RentRoll!$K$7),RentRoll!$R$7)))/12</f>
        <v>79456.35978756</v>
      </c>
      <c r="J8" s="71" t="n">
        <f aca="false">RentRoll!$H$7*RentRoll!$P$7*(1+IF(RentRoll!$I$7="",RentGrowth+$B$6,RentRoll!$I$7))^(J$4-1)*(MAX(0,MIN(12*J$4,IF(RentRoll!$K$7="",99999,RentRoll!$K$7))-MAX(12*(J$4-1),RentRoll!$R$7))+RentRoll!$L$7*MAX(0,12*J$4-MAX(12*(J$4-1),IF(RentRoll!$K$7="",99999,RentRoll!$K$7),RentRoll!$R$7)))/12</f>
        <v>80250.9233854356</v>
      </c>
      <c r="K8" s="71" t="n">
        <f aca="false">RentRoll!$H$7*RentRoll!$P$7*(1+IF(RentRoll!$I$7="",RentGrowth+$B$6,RentRoll!$I$7))^(K$4-1)*(MAX(0,MIN(12*K$4,IF(RentRoll!$K$7="",99999,RentRoll!$K$7))-MAX(12*(K$4-1),RentRoll!$R$7))+RentRoll!$L$7*MAX(0,12*K$4-MAX(12*(K$4-1),IF(RentRoll!$K$7="",99999,RentRoll!$K$7),RentRoll!$R$7)))/12</f>
        <v>81053.43261929</v>
      </c>
      <c r="L8" s="71" t="n">
        <f aca="false">RentRoll!$H$7*RentRoll!$P$7*(1+IF(RentRoll!$I$7="",RentGrowth+$B$6,RentRoll!$I$7))^(L$4-1)*(MAX(0,MIN(12*L$4,IF(RentRoll!$K$7="",99999,RentRoll!$K$7))-MAX(12*(L$4-1),RentRoll!$R$7))+RentRoll!$L$7*MAX(0,12*L$4-MAX(12*(L$4-1),IF(RentRoll!$K$7="",99999,RentRoll!$K$7),RentRoll!$R$7)))/12</f>
        <v>81863.9669454829</v>
      </c>
      <c r="M8" s="71" t="n">
        <f aca="false">RentRoll!$H$7*RentRoll!$P$7*(1+IF(RentRoll!$I$7="",RentGrowth+$B$6,RentRoll!$I$7))^(M$4-1)*(MAX(0,MIN(12*M$4,IF(RentRoll!$K$7="",99999,RentRoll!$K$7))-MAX(12*(M$4-1),RentRoll!$R$7))+RentRoll!$L$7*MAX(0,12*M$4-MAX(12*(M$4-1),IF(RentRoll!$K$7="",99999,RentRoll!$K$7),RentRoll!$R$7)))/12</f>
        <v>82682.6066149377</v>
      </c>
      <c r="N8" s="71" t="n">
        <f aca="false">RentRoll!$H$7*RentRoll!$P$7*(1+IF(RentRoll!$I$7="",RentGrowth+$B$6,RentRoll!$I$7))^(N$4-1)*(MAX(0,MIN(12*N$4,IF(RentRoll!$K$7="",99999,RentRoll!$K$7))-MAX(12*(N$4-1),RentRoll!$R$7))+RentRoll!$L$7*MAX(0,12*N$4-MAX(12*(N$4-1),IF(RentRoll!$K$7="",99999,RentRoll!$K$7),RentRoll!$R$7)))/12</f>
        <v>83509.4326810871</v>
      </c>
    </row>
    <row r="9" customFormat="false" ht="15" hidden="false" customHeight="false" outlineLevel="0" collapsed="false">
      <c r="A9" s="91" t="str">
        <f aca="false">RentRoll!B8</f>
        <v>Straight 6</v>
      </c>
      <c r="D9" s="71" t="n">
        <f aca="false">RentRoll!$H$8*RentRoll!$P$8*(1+IF(RentRoll!$I$8="",RentGrowth+$B$6,RentRoll!$I$8))^(D$4-1)*(MAX(0,MIN(12*D$4,IF(RentRoll!$K$8="",99999,RentRoll!$K$8))-MAX(12*(D$4-1),RentRoll!$R$8))+RentRoll!$L$8*MAX(0,12*D$4-MAX(12*(D$4-1),IF(RentRoll!$K$8="",99999,RentRoll!$K$8),RentRoll!$R$8)))/12</f>
        <v>78000</v>
      </c>
      <c r="E9" s="71" t="n">
        <f aca="false">RentRoll!$H$8*RentRoll!$P$8*(1+IF(RentRoll!$I$8="",RentGrowth+$B$6,RentRoll!$I$8))^(E$4-1)*(MAX(0,MIN(12*E$4,IF(RentRoll!$K$8="",99999,RentRoll!$K$8))-MAX(12*(E$4-1),RentRoll!$R$8))+RentRoll!$L$8*MAX(0,12*E$4-MAX(12*(E$4-1),IF(RentRoll!$K$8="",99999,RentRoll!$K$8),RentRoll!$R$8)))/12</f>
        <v>78780</v>
      </c>
      <c r="F9" s="71" t="n">
        <f aca="false">RentRoll!$H$8*RentRoll!$P$8*(1+IF(RentRoll!$I$8="",RentGrowth+$B$6,RentRoll!$I$8))^(F$4-1)*(MAX(0,MIN(12*F$4,IF(RentRoll!$K$8="",99999,RentRoll!$K$8))-MAX(12*(F$4-1),RentRoll!$R$8))+RentRoll!$L$8*MAX(0,12*F$4-MAX(12*(F$4-1),IF(RentRoll!$K$8="",99999,RentRoll!$K$8),RentRoll!$R$8)))/12</f>
        <v>79567.8</v>
      </c>
      <c r="G9" s="71" t="n">
        <f aca="false">RentRoll!$H$8*RentRoll!$P$8*(1+IF(RentRoll!$I$8="",RentGrowth+$B$6,RentRoll!$I$8))^(G$4-1)*(MAX(0,MIN(12*G$4,IF(RentRoll!$K$8="",99999,RentRoll!$K$8))-MAX(12*(G$4-1),RentRoll!$R$8))+RentRoll!$L$8*MAX(0,12*G$4-MAX(12*(G$4-1),IF(RentRoll!$K$8="",99999,RentRoll!$K$8),RentRoll!$R$8)))/12</f>
        <v>80363.478</v>
      </c>
      <c r="H9" s="71" t="n">
        <f aca="false">RentRoll!$H$8*RentRoll!$P$8*(1+IF(RentRoll!$I$8="",RentGrowth+$B$6,RentRoll!$I$8))^(H$4-1)*(MAX(0,MIN(12*H$4,IF(RentRoll!$K$8="",99999,RentRoll!$K$8))-MAX(12*(H$4-1),RentRoll!$R$8))+RentRoll!$L$8*MAX(0,12*H$4-MAX(12*(H$4-1),IF(RentRoll!$K$8="",99999,RentRoll!$K$8),RentRoll!$R$8)))/12</f>
        <v>81167.11278</v>
      </c>
      <c r="I9" s="71" t="n">
        <f aca="false">RentRoll!$H$8*RentRoll!$P$8*(1+IF(RentRoll!$I$8="",RentGrowth+$B$6,RentRoll!$I$8))^(I$4-1)*(MAX(0,MIN(12*I$4,IF(RentRoll!$K$8="",99999,RentRoll!$K$8))-MAX(12*(I$4-1),RentRoll!$R$8))+RentRoll!$L$8*MAX(0,12*I$4-MAX(12*(I$4-1),IF(RentRoll!$K$8="",99999,RentRoll!$K$8),RentRoll!$R$8)))/12</f>
        <v>81978.7839078</v>
      </c>
      <c r="J9" s="71" t="n">
        <f aca="false">RentRoll!$H$8*RentRoll!$P$8*(1+IF(RentRoll!$I$8="",RentGrowth+$B$6,RentRoll!$I$8))^(J$4-1)*(MAX(0,MIN(12*J$4,IF(RentRoll!$K$8="",99999,RentRoll!$K$8))-MAX(12*(J$4-1),RentRoll!$R$8))+RentRoll!$L$8*MAX(0,12*J$4-MAX(12*(J$4-1),IF(RentRoll!$K$8="",99999,RentRoll!$K$8),RentRoll!$R$8)))/12</f>
        <v>82798.571746878</v>
      </c>
      <c r="K9" s="71" t="n">
        <f aca="false">RentRoll!$H$8*RentRoll!$P$8*(1+IF(RentRoll!$I$8="",RentGrowth+$B$6,RentRoll!$I$8))^(K$4-1)*(MAX(0,MIN(12*K$4,IF(RentRoll!$K$8="",99999,RentRoll!$K$8))-MAX(12*(K$4-1),RentRoll!$R$8))+RentRoll!$L$8*MAX(0,12*K$4-MAX(12*(K$4-1),IF(RentRoll!$K$8="",99999,RentRoll!$K$8),RentRoll!$R$8)))/12</f>
        <v>83626.5574643468</v>
      </c>
      <c r="L9" s="71" t="n">
        <f aca="false">RentRoll!$H$8*RentRoll!$P$8*(1+IF(RentRoll!$I$8="",RentGrowth+$B$6,RentRoll!$I$8))^(L$4-1)*(MAX(0,MIN(12*L$4,IF(RentRoll!$K$8="",99999,RentRoll!$K$8))-MAX(12*(L$4-1),RentRoll!$R$8))+RentRoll!$L$8*MAX(0,12*L$4-MAX(12*(L$4-1),IF(RentRoll!$K$8="",99999,RentRoll!$K$8),RentRoll!$R$8)))/12</f>
        <v>84462.8230389903</v>
      </c>
      <c r="M9" s="71" t="n">
        <f aca="false">RentRoll!$H$8*RentRoll!$P$8*(1+IF(RentRoll!$I$8="",RentGrowth+$B$6,RentRoll!$I$8))^(M$4-1)*(MAX(0,MIN(12*M$4,IF(RentRoll!$K$8="",99999,RentRoll!$K$8))-MAX(12*(M$4-1),RentRoll!$R$8))+RentRoll!$L$8*MAX(0,12*M$4-MAX(12*(M$4-1),IF(RentRoll!$K$8="",99999,RentRoll!$K$8),RentRoll!$R$8)))/12</f>
        <v>85307.4512693802</v>
      </c>
      <c r="N9" s="71" t="n">
        <f aca="false">RentRoll!$H$8*RentRoll!$P$8*(1+IF(RentRoll!$I$8="",RentGrowth+$B$6,RentRoll!$I$8))^(N$4-1)*(MAX(0,MIN(12*N$4,IF(RentRoll!$K$8="",99999,RentRoll!$K$8))-MAX(12*(N$4-1),RentRoll!$R$8))+RentRoll!$L$8*MAX(0,12*N$4-MAX(12*(N$4-1),IF(RentRoll!$K$8="",99999,RentRoll!$K$8),RentRoll!$R$8)))/12</f>
        <v>86160.525782074</v>
      </c>
    </row>
    <row r="10" customFormat="false" ht="15" hidden="false" customHeight="false" outlineLevel="0" collapsed="false">
      <c r="A10" s="91" t="str">
        <f aca="false">RentRoll!B9</f>
        <v>Big Dawgs (repo)</v>
      </c>
      <c r="D10" s="71" t="n">
        <f aca="false">RentRoll!$H$9*RentRoll!$P$9*(1+IF(RentRoll!$I$9="",RentGrowth+$B$6,RentRoll!$I$9))^(D$4-1)*(MAX(0,MIN(12*D$4,IF(RentRoll!$K$9="",99999,RentRoll!$K$9))-MAX(12*(D$4-1),RentRoll!$R$9))+RentRoll!$L$9*MAX(0,12*D$4-MAX(12*(D$4-1),IF(RentRoll!$K$9="",99999,RentRoll!$K$9),RentRoll!$R$9)))/12</f>
        <v>48000</v>
      </c>
      <c r="E10" s="71" t="n">
        <f aca="false">RentRoll!$H$9*RentRoll!$P$9*(1+IF(RentRoll!$I$9="",RentGrowth+$B$6,RentRoll!$I$9))^(E$4-1)*(MAX(0,MIN(12*E$4,IF(RentRoll!$K$9="",99999,RentRoll!$K$9))-MAX(12*(E$4-1),RentRoll!$R$9))+RentRoll!$L$9*MAX(0,12*E$4-MAX(12*(E$4-1),IF(RentRoll!$K$9="",99999,RentRoll!$K$9),RentRoll!$R$9)))/12</f>
        <v>48480</v>
      </c>
      <c r="F10" s="71" t="n">
        <f aca="false">RentRoll!$H$9*RentRoll!$P$9*(1+IF(RentRoll!$I$9="",RentGrowth+$B$6,RentRoll!$I$9))^(F$4-1)*(MAX(0,MIN(12*F$4,IF(RentRoll!$K$9="",99999,RentRoll!$K$9))-MAX(12*(F$4-1),RentRoll!$R$9))+RentRoll!$L$9*MAX(0,12*F$4-MAX(12*(F$4-1),IF(RentRoll!$K$9="",99999,RentRoll!$K$9),RentRoll!$R$9)))/12</f>
        <v>48964.8</v>
      </c>
      <c r="G10" s="71" t="n">
        <f aca="false">RentRoll!$H$9*RentRoll!$P$9*(1+IF(RentRoll!$I$9="",RentGrowth+$B$6,RentRoll!$I$9))^(G$4-1)*(MAX(0,MIN(12*G$4,IF(RentRoll!$K$9="",99999,RentRoll!$K$9))-MAX(12*(G$4-1),RentRoll!$R$9))+RentRoll!$L$9*MAX(0,12*G$4-MAX(12*(G$4-1),IF(RentRoll!$K$9="",99999,RentRoll!$K$9),RentRoll!$R$9)))/12</f>
        <v>49454.448</v>
      </c>
      <c r="H10" s="71" t="n">
        <f aca="false">RentRoll!$H$9*RentRoll!$P$9*(1+IF(RentRoll!$I$9="",RentGrowth+$B$6,RentRoll!$I$9))^(H$4-1)*(MAX(0,MIN(12*H$4,IF(RentRoll!$K$9="",99999,RentRoll!$K$9))-MAX(12*(H$4-1),RentRoll!$R$9))+RentRoll!$L$9*MAX(0,12*H$4-MAX(12*(H$4-1),IF(RentRoll!$K$9="",99999,RentRoll!$K$9),RentRoll!$R$9)))/12</f>
        <v>49948.99248</v>
      </c>
      <c r="I10" s="71" t="n">
        <f aca="false">RentRoll!$H$9*RentRoll!$P$9*(1+IF(RentRoll!$I$9="",RentGrowth+$B$6,RentRoll!$I$9))^(I$4-1)*(MAX(0,MIN(12*I$4,IF(RentRoll!$K$9="",99999,RentRoll!$K$9))-MAX(12*(I$4-1),RentRoll!$R$9))+RentRoll!$L$9*MAX(0,12*I$4-MAX(12*(I$4-1),IF(RentRoll!$K$9="",99999,RentRoll!$K$9),RentRoll!$R$9)))/12</f>
        <v>50448.4824048</v>
      </c>
      <c r="J10" s="71" t="n">
        <f aca="false">RentRoll!$H$9*RentRoll!$P$9*(1+IF(RentRoll!$I$9="",RentGrowth+$B$6,RentRoll!$I$9))^(J$4-1)*(MAX(0,MIN(12*J$4,IF(RentRoll!$K$9="",99999,RentRoll!$K$9))-MAX(12*(J$4-1),RentRoll!$R$9))+RentRoll!$L$9*MAX(0,12*J$4-MAX(12*(J$4-1),IF(RentRoll!$K$9="",99999,RentRoll!$K$9),RentRoll!$R$9)))/12</f>
        <v>50952.967228848</v>
      </c>
      <c r="K10" s="71" t="n">
        <f aca="false">RentRoll!$H$9*RentRoll!$P$9*(1+IF(RentRoll!$I$9="",RentGrowth+$B$6,RentRoll!$I$9))^(K$4-1)*(MAX(0,MIN(12*K$4,IF(RentRoll!$K$9="",99999,RentRoll!$K$9))-MAX(12*(K$4-1),RentRoll!$R$9))+RentRoll!$L$9*MAX(0,12*K$4-MAX(12*(K$4-1),IF(RentRoll!$K$9="",99999,RentRoll!$K$9),RentRoll!$R$9)))/12</f>
        <v>51462.4969011365</v>
      </c>
      <c r="L10" s="71" t="n">
        <f aca="false">RentRoll!$H$9*RentRoll!$P$9*(1+IF(RentRoll!$I$9="",RentGrowth+$B$6,RentRoll!$I$9))^(L$4-1)*(MAX(0,MIN(12*L$4,IF(RentRoll!$K$9="",99999,RentRoll!$K$9))-MAX(12*(L$4-1),RentRoll!$R$9))+RentRoll!$L$9*MAX(0,12*L$4-MAX(12*(L$4-1),IF(RentRoll!$K$9="",99999,RentRoll!$K$9),RentRoll!$R$9)))/12</f>
        <v>51977.1218701479</v>
      </c>
      <c r="M10" s="71" t="n">
        <f aca="false">RentRoll!$H$9*RentRoll!$P$9*(1+IF(RentRoll!$I$9="",RentGrowth+$B$6,RentRoll!$I$9))^(M$4-1)*(MAX(0,MIN(12*M$4,IF(RentRoll!$K$9="",99999,RentRoll!$K$9))-MAX(12*(M$4-1),RentRoll!$R$9))+RentRoll!$L$9*MAX(0,12*M$4-MAX(12*(M$4-1),IF(RentRoll!$K$9="",99999,RentRoll!$K$9),RentRoll!$R$9)))/12</f>
        <v>52496.8930888493</v>
      </c>
      <c r="N10" s="71" t="n">
        <f aca="false">RentRoll!$H$9*RentRoll!$P$9*(1+IF(RentRoll!$I$9="",RentGrowth+$B$6,RentRoll!$I$9))^(N$4-1)*(MAX(0,MIN(12*N$4,IF(RentRoll!$K$9="",99999,RentRoll!$K$9))-MAX(12*(N$4-1),RentRoll!$R$9))+RentRoll!$L$9*MAX(0,12*N$4-MAX(12*(N$4-1),IF(RentRoll!$K$9="",99999,RentRoll!$K$9),RentRoll!$R$9)))/12</f>
        <v>53021.8620197378</v>
      </c>
    </row>
    <row r="11" customFormat="false" ht="15" hidden="false" customHeight="false" outlineLevel="0" collapsed="false">
      <c r="A11" s="91" t="str">
        <f aca="false">RentRoll!B10</f>
        <v>Individual tenants (various)</v>
      </c>
      <c r="D11" s="71" t="n">
        <f aca="false">RentRoll!$H$10*RentRoll!$P$10*(1+IF(RentRoll!$I$10="",RentGrowth+$B$6,RentRoll!$I$10))^(D$4-1)*(MAX(0,MIN(12*D$4,IF(RentRoll!$K$10="",99999,RentRoll!$K$10))-MAX(12*(D$4-1),RentRoll!$R$10))+RentRoll!$L$10*MAX(0,12*D$4-MAX(12*(D$4-1),IF(RentRoll!$K$10="",99999,RentRoll!$K$10),RentRoll!$R$10)))/12</f>
        <v>25200</v>
      </c>
      <c r="E11" s="71" t="n">
        <f aca="false">RentRoll!$H$10*RentRoll!$P$10*(1+IF(RentRoll!$I$10="",RentGrowth+$B$6,RentRoll!$I$10))^(E$4-1)*(MAX(0,MIN(12*E$4,IF(RentRoll!$K$10="",99999,RentRoll!$K$10))-MAX(12*(E$4-1),RentRoll!$R$10))+RentRoll!$L$10*MAX(0,12*E$4-MAX(12*(E$4-1),IF(RentRoll!$K$10="",99999,RentRoll!$K$10),RentRoll!$R$10)))/12</f>
        <v>25452</v>
      </c>
      <c r="F11" s="71" t="n">
        <f aca="false">RentRoll!$H$10*RentRoll!$P$10*(1+IF(RentRoll!$I$10="",RentGrowth+$B$6,RentRoll!$I$10))^(F$4-1)*(MAX(0,MIN(12*F$4,IF(RentRoll!$K$10="",99999,RentRoll!$K$10))-MAX(12*(F$4-1),RentRoll!$R$10))+RentRoll!$L$10*MAX(0,12*F$4-MAX(12*(F$4-1),IF(RentRoll!$K$10="",99999,RentRoll!$K$10),RentRoll!$R$10)))/12</f>
        <v>25706.52</v>
      </c>
      <c r="G11" s="71" t="n">
        <f aca="false">RentRoll!$H$10*RentRoll!$P$10*(1+IF(RentRoll!$I$10="",RentGrowth+$B$6,RentRoll!$I$10))^(G$4-1)*(MAX(0,MIN(12*G$4,IF(RentRoll!$K$10="",99999,RentRoll!$K$10))-MAX(12*(G$4-1),RentRoll!$R$10))+RentRoll!$L$10*MAX(0,12*G$4-MAX(12*(G$4-1),IF(RentRoll!$K$10="",99999,RentRoll!$K$10),RentRoll!$R$10)))/12</f>
        <v>25963.5852</v>
      </c>
      <c r="H11" s="71" t="n">
        <f aca="false">RentRoll!$H$10*RentRoll!$P$10*(1+IF(RentRoll!$I$10="",RentGrowth+$B$6,RentRoll!$I$10))^(H$4-1)*(MAX(0,MIN(12*H$4,IF(RentRoll!$K$10="",99999,RentRoll!$K$10))-MAX(12*(H$4-1),RentRoll!$R$10))+RentRoll!$L$10*MAX(0,12*H$4-MAX(12*(H$4-1),IF(RentRoll!$K$10="",99999,RentRoll!$K$10),RentRoll!$R$10)))/12</f>
        <v>26223.221052</v>
      </c>
      <c r="I11" s="71" t="n">
        <f aca="false">RentRoll!$H$10*RentRoll!$P$10*(1+IF(RentRoll!$I$10="",RentGrowth+$B$6,RentRoll!$I$10))^(I$4-1)*(MAX(0,MIN(12*I$4,IF(RentRoll!$K$10="",99999,RentRoll!$K$10))-MAX(12*(I$4-1),RentRoll!$R$10))+RentRoll!$L$10*MAX(0,12*I$4-MAX(12*(I$4-1),IF(RentRoll!$K$10="",99999,RentRoll!$K$10),RentRoll!$R$10)))/12</f>
        <v>26485.45326252</v>
      </c>
      <c r="J11" s="71" t="n">
        <f aca="false">RentRoll!$H$10*RentRoll!$P$10*(1+IF(RentRoll!$I$10="",RentGrowth+$B$6,RentRoll!$I$10))^(J$4-1)*(MAX(0,MIN(12*J$4,IF(RentRoll!$K$10="",99999,RentRoll!$K$10))-MAX(12*(J$4-1),RentRoll!$R$10))+RentRoll!$L$10*MAX(0,12*J$4-MAX(12*(J$4-1),IF(RentRoll!$K$10="",99999,RentRoll!$K$10),RentRoll!$R$10)))/12</f>
        <v>26750.3077951452</v>
      </c>
      <c r="K11" s="71" t="n">
        <f aca="false">RentRoll!$H$10*RentRoll!$P$10*(1+IF(RentRoll!$I$10="",RentGrowth+$B$6,RentRoll!$I$10))^(K$4-1)*(MAX(0,MIN(12*K$4,IF(RentRoll!$K$10="",99999,RentRoll!$K$10))-MAX(12*(K$4-1),RentRoll!$R$10))+RentRoll!$L$10*MAX(0,12*K$4-MAX(12*(K$4-1),IF(RentRoll!$K$10="",99999,RentRoll!$K$10),RentRoll!$R$10)))/12</f>
        <v>27017.8108730967</v>
      </c>
      <c r="L11" s="71" t="n">
        <f aca="false">RentRoll!$H$10*RentRoll!$P$10*(1+IF(RentRoll!$I$10="",RentGrowth+$B$6,RentRoll!$I$10))^(L$4-1)*(MAX(0,MIN(12*L$4,IF(RentRoll!$K$10="",99999,RentRoll!$K$10))-MAX(12*(L$4-1),RentRoll!$R$10))+RentRoll!$L$10*MAX(0,12*L$4-MAX(12*(L$4-1),IF(RentRoll!$K$10="",99999,RentRoll!$K$10),RentRoll!$R$10)))/12</f>
        <v>27287.9889818276</v>
      </c>
      <c r="M11" s="71" t="n">
        <f aca="false">RentRoll!$H$10*RentRoll!$P$10*(1+IF(RentRoll!$I$10="",RentGrowth+$B$6,RentRoll!$I$10))^(M$4-1)*(MAX(0,MIN(12*M$4,IF(RentRoll!$K$10="",99999,RentRoll!$K$10))-MAX(12*(M$4-1),RentRoll!$R$10))+RentRoll!$L$10*MAX(0,12*M$4-MAX(12*(M$4-1),IF(RentRoll!$K$10="",99999,RentRoll!$K$10),RentRoll!$R$10)))/12</f>
        <v>27560.8688716459</v>
      </c>
      <c r="N11" s="71" t="n">
        <f aca="false">RentRoll!$H$10*RentRoll!$P$10*(1+IF(RentRoll!$I$10="",RentGrowth+$B$6,RentRoll!$I$10))^(N$4-1)*(MAX(0,MIN(12*N$4,IF(RentRoll!$K$10="",99999,RentRoll!$K$10))-MAX(12*(N$4-1),RentRoll!$R$10))+RentRoll!$L$10*MAX(0,12*N$4-MAX(12*(N$4-1),IF(RentRoll!$K$10="",99999,RentRoll!$K$10),RentRoll!$R$10)))/12</f>
        <v>27836.4775603624</v>
      </c>
    </row>
    <row r="12" customFormat="false" ht="15" hidden="false" customHeight="false" outlineLevel="0" collapsed="false">
      <c r="A12" s="91" t="str">
        <f aca="false">RentRoll!B11</f>
        <v>CDL driver training</v>
      </c>
      <c r="D12" s="71" t="n">
        <f aca="false">RentRoll!$H$11*RentRoll!$P$11*(1+IF(RentRoll!$I$11="",RentGrowth+$B$6,RentRoll!$I$11))^(D$4-1)*(MAX(0,MIN(12*D$4,IF(RentRoll!$K$11="",99999,RentRoll!$K$11))-MAX(12*(D$4-1),RentRoll!$R$11))+RentRoll!$L$11*MAX(0,12*D$4-MAX(12*(D$4-1),IF(RentRoll!$K$11="",99999,RentRoll!$K$11),RentRoll!$R$11)))/12</f>
        <v>18000</v>
      </c>
      <c r="E12" s="71" t="n">
        <f aca="false">RentRoll!$H$11*RentRoll!$P$11*(1+IF(RentRoll!$I$11="",RentGrowth+$B$6,RentRoll!$I$11))^(E$4-1)*(MAX(0,MIN(12*E$4,IF(RentRoll!$K$11="",99999,RentRoll!$K$11))-MAX(12*(E$4-1),RentRoll!$R$11))+RentRoll!$L$11*MAX(0,12*E$4-MAX(12*(E$4-1),IF(RentRoll!$K$11="",99999,RentRoll!$K$11),RentRoll!$R$11)))/12</f>
        <v>18180</v>
      </c>
      <c r="F12" s="71" t="n">
        <f aca="false">RentRoll!$H$11*RentRoll!$P$11*(1+IF(RentRoll!$I$11="",RentGrowth+$B$6,RentRoll!$I$11))^(F$4-1)*(MAX(0,MIN(12*F$4,IF(RentRoll!$K$11="",99999,RentRoll!$K$11))-MAX(12*(F$4-1),RentRoll!$R$11))+RentRoll!$L$11*MAX(0,12*F$4-MAX(12*(F$4-1),IF(RentRoll!$K$11="",99999,RentRoll!$K$11),RentRoll!$R$11)))/12</f>
        <v>18361.8</v>
      </c>
      <c r="G12" s="71" t="n">
        <f aca="false">RentRoll!$H$11*RentRoll!$P$11*(1+IF(RentRoll!$I$11="",RentGrowth+$B$6,RentRoll!$I$11))^(G$4-1)*(MAX(0,MIN(12*G$4,IF(RentRoll!$K$11="",99999,RentRoll!$K$11))-MAX(12*(G$4-1),RentRoll!$R$11))+RentRoll!$L$11*MAX(0,12*G$4-MAX(12*(G$4-1),IF(RentRoll!$K$11="",99999,RentRoll!$K$11),RentRoll!$R$11)))/12</f>
        <v>18545.418</v>
      </c>
      <c r="H12" s="71" t="n">
        <f aca="false">RentRoll!$H$11*RentRoll!$P$11*(1+IF(RentRoll!$I$11="",RentGrowth+$B$6,RentRoll!$I$11))^(H$4-1)*(MAX(0,MIN(12*H$4,IF(RentRoll!$K$11="",99999,RentRoll!$K$11))-MAX(12*(H$4-1),RentRoll!$R$11))+RentRoll!$L$11*MAX(0,12*H$4-MAX(12*(H$4-1),IF(RentRoll!$K$11="",99999,RentRoll!$K$11),RentRoll!$R$11)))/12</f>
        <v>18730.87218</v>
      </c>
      <c r="I12" s="71" t="n">
        <f aca="false">RentRoll!$H$11*RentRoll!$P$11*(1+IF(RentRoll!$I$11="",RentGrowth+$B$6,RentRoll!$I$11))^(I$4-1)*(MAX(0,MIN(12*I$4,IF(RentRoll!$K$11="",99999,RentRoll!$K$11))-MAX(12*(I$4-1),RentRoll!$R$11))+RentRoll!$L$11*MAX(0,12*I$4-MAX(12*(I$4-1),IF(RentRoll!$K$11="",99999,RentRoll!$K$11),RentRoll!$R$11)))/12</f>
        <v>18918.1809018</v>
      </c>
      <c r="J12" s="71" t="n">
        <f aca="false">RentRoll!$H$11*RentRoll!$P$11*(1+IF(RentRoll!$I$11="",RentGrowth+$B$6,RentRoll!$I$11))^(J$4-1)*(MAX(0,MIN(12*J$4,IF(RentRoll!$K$11="",99999,RentRoll!$K$11))-MAX(12*(J$4-1),RentRoll!$R$11))+RentRoll!$L$11*MAX(0,12*J$4-MAX(12*(J$4-1),IF(RentRoll!$K$11="",99999,RentRoll!$K$11),RentRoll!$R$11)))/12</f>
        <v>19107.362710818</v>
      </c>
      <c r="K12" s="71" t="n">
        <f aca="false">RentRoll!$H$11*RentRoll!$P$11*(1+IF(RentRoll!$I$11="",RentGrowth+$B$6,RentRoll!$I$11))^(K$4-1)*(MAX(0,MIN(12*K$4,IF(RentRoll!$K$11="",99999,RentRoll!$K$11))-MAX(12*(K$4-1),RentRoll!$R$11))+RentRoll!$L$11*MAX(0,12*K$4-MAX(12*(K$4-1),IF(RentRoll!$K$11="",99999,RentRoll!$K$11),RentRoll!$R$11)))/12</f>
        <v>19298.4363379262</v>
      </c>
      <c r="L12" s="71" t="n">
        <f aca="false">RentRoll!$H$11*RentRoll!$P$11*(1+IF(RentRoll!$I$11="",RentGrowth+$B$6,RentRoll!$I$11))^(L$4-1)*(MAX(0,MIN(12*L$4,IF(RentRoll!$K$11="",99999,RentRoll!$K$11))-MAX(12*(L$4-1),RentRoll!$R$11))+RentRoll!$L$11*MAX(0,12*L$4-MAX(12*(L$4-1),IF(RentRoll!$K$11="",99999,RentRoll!$K$11),RentRoll!$R$11)))/12</f>
        <v>19491.4207013054</v>
      </c>
      <c r="M12" s="71" t="n">
        <f aca="false">RentRoll!$H$11*RentRoll!$P$11*(1+IF(RentRoll!$I$11="",RentGrowth+$B$6,RentRoll!$I$11))^(M$4-1)*(MAX(0,MIN(12*M$4,IF(RentRoll!$K$11="",99999,RentRoll!$K$11))-MAX(12*(M$4-1),RentRoll!$R$11))+RentRoll!$L$11*MAX(0,12*M$4-MAX(12*(M$4-1),IF(RentRoll!$K$11="",99999,RentRoll!$K$11),RentRoll!$R$11)))/12</f>
        <v>19686.3349083185</v>
      </c>
      <c r="N12" s="71" t="n">
        <f aca="false">RentRoll!$H$11*RentRoll!$P$11*(1+IF(RentRoll!$I$11="",RentGrowth+$B$6,RentRoll!$I$11))^(N$4-1)*(MAX(0,MIN(12*N$4,IF(RentRoll!$K$11="",99999,RentRoll!$K$11))-MAX(12*(N$4-1),RentRoll!$R$11))+RentRoll!$L$11*MAX(0,12*N$4-MAX(12*(N$4-1),IF(RentRoll!$K$11="",99999,RentRoll!$K$11),RentRoll!$R$11)))/12</f>
        <v>19883.1982574017</v>
      </c>
    </row>
    <row r="13" customFormat="false" ht="15" hidden="false" customHeight="false" outlineLevel="0" collapsed="false">
      <c r="A13" s="91" t="str">
        <f aca="false">RentRoll!B12</f>
        <v>Alamo Fireworks</v>
      </c>
      <c r="D13" s="71" t="n">
        <f aca="false">RentRoll!$H$12*RentRoll!$P$12*(1+IF(RentRoll!$I$12="",RentGrowth+$B$6,RentRoll!$I$12))^(D$4-1)*(MAX(0,MIN(12*D$4,IF(RentRoll!$K$12="",99999,RentRoll!$K$12))-MAX(12*(D$4-1),RentRoll!$R$12))+RentRoll!$L$12*MAX(0,12*D$4-MAX(12*(D$4-1),IF(RentRoll!$K$12="",99999,RentRoll!$K$12),RentRoll!$R$12)))/12</f>
        <v>8000</v>
      </c>
      <c r="E13" s="71" t="n">
        <f aca="false">RentRoll!$H$12*RentRoll!$P$12*(1+IF(RentRoll!$I$12="",RentGrowth+$B$6,RentRoll!$I$12))^(E$4-1)*(MAX(0,MIN(12*E$4,IF(RentRoll!$K$12="",99999,RentRoll!$K$12))-MAX(12*(E$4-1),RentRoll!$R$12))+RentRoll!$L$12*MAX(0,12*E$4-MAX(12*(E$4-1),IF(RentRoll!$K$12="",99999,RentRoll!$K$12),RentRoll!$R$12)))/12</f>
        <v>8080</v>
      </c>
      <c r="F13" s="71" t="n">
        <f aca="false">RentRoll!$H$12*RentRoll!$P$12*(1+IF(RentRoll!$I$12="",RentGrowth+$B$6,RentRoll!$I$12))^(F$4-1)*(MAX(0,MIN(12*F$4,IF(RentRoll!$K$12="",99999,RentRoll!$K$12))-MAX(12*(F$4-1),RentRoll!$R$12))+RentRoll!$L$12*MAX(0,12*F$4-MAX(12*(F$4-1),IF(RentRoll!$K$12="",99999,RentRoll!$K$12),RentRoll!$R$12)))/12</f>
        <v>8160.8</v>
      </c>
      <c r="G13" s="71" t="n">
        <f aca="false">RentRoll!$H$12*RentRoll!$P$12*(1+IF(RentRoll!$I$12="",RentGrowth+$B$6,RentRoll!$I$12))^(G$4-1)*(MAX(0,MIN(12*G$4,IF(RentRoll!$K$12="",99999,RentRoll!$K$12))-MAX(12*(G$4-1),RentRoll!$R$12))+RentRoll!$L$12*MAX(0,12*G$4-MAX(12*(G$4-1),IF(RentRoll!$K$12="",99999,RentRoll!$K$12),RentRoll!$R$12)))/12</f>
        <v>8242.408</v>
      </c>
      <c r="H13" s="71" t="n">
        <f aca="false">RentRoll!$H$12*RentRoll!$P$12*(1+IF(RentRoll!$I$12="",RentGrowth+$B$6,RentRoll!$I$12))^(H$4-1)*(MAX(0,MIN(12*H$4,IF(RentRoll!$K$12="",99999,RentRoll!$K$12))-MAX(12*(H$4-1),RentRoll!$R$12))+RentRoll!$L$12*MAX(0,12*H$4-MAX(12*(H$4-1),IF(RentRoll!$K$12="",99999,RentRoll!$K$12),RentRoll!$R$12)))/12</f>
        <v>8324.83208</v>
      </c>
      <c r="I13" s="71" t="n">
        <f aca="false">RentRoll!$H$12*RentRoll!$P$12*(1+IF(RentRoll!$I$12="",RentGrowth+$B$6,RentRoll!$I$12))^(I$4-1)*(MAX(0,MIN(12*I$4,IF(RentRoll!$K$12="",99999,RentRoll!$K$12))-MAX(12*(I$4-1),RentRoll!$R$12))+RentRoll!$L$12*MAX(0,12*I$4-MAX(12*(I$4-1),IF(RentRoll!$K$12="",99999,RentRoll!$K$12),RentRoll!$R$12)))/12</f>
        <v>8408.0804008</v>
      </c>
      <c r="J13" s="71" t="n">
        <f aca="false">RentRoll!$H$12*RentRoll!$P$12*(1+IF(RentRoll!$I$12="",RentGrowth+$B$6,RentRoll!$I$12))^(J$4-1)*(MAX(0,MIN(12*J$4,IF(RentRoll!$K$12="",99999,RentRoll!$K$12))-MAX(12*(J$4-1),RentRoll!$R$12))+RentRoll!$L$12*MAX(0,12*J$4-MAX(12*(J$4-1),IF(RentRoll!$K$12="",99999,RentRoll!$K$12),RentRoll!$R$12)))/12</f>
        <v>8492.161204808</v>
      </c>
      <c r="K13" s="71" t="n">
        <f aca="false">RentRoll!$H$12*RentRoll!$P$12*(1+IF(RentRoll!$I$12="",RentGrowth+$B$6,RentRoll!$I$12))^(K$4-1)*(MAX(0,MIN(12*K$4,IF(RentRoll!$K$12="",99999,RentRoll!$K$12))-MAX(12*(K$4-1),RentRoll!$R$12))+RentRoll!$L$12*MAX(0,12*K$4-MAX(12*(K$4-1),IF(RentRoll!$K$12="",99999,RentRoll!$K$12),RentRoll!$R$12)))/12</f>
        <v>8577.08281685608</v>
      </c>
      <c r="L13" s="71" t="n">
        <f aca="false">RentRoll!$H$12*RentRoll!$P$12*(1+IF(RentRoll!$I$12="",RentGrowth+$B$6,RentRoll!$I$12))^(L$4-1)*(MAX(0,MIN(12*L$4,IF(RentRoll!$K$12="",99999,RentRoll!$K$12))-MAX(12*(L$4-1),RentRoll!$R$12))+RentRoll!$L$12*MAX(0,12*L$4-MAX(12*(L$4-1),IF(RentRoll!$K$12="",99999,RentRoll!$K$12),RentRoll!$R$12)))/12</f>
        <v>8662.85364502464</v>
      </c>
      <c r="M13" s="71" t="n">
        <f aca="false">RentRoll!$H$12*RentRoll!$P$12*(1+IF(RentRoll!$I$12="",RentGrowth+$B$6,RentRoll!$I$12))^(M$4-1)*(MAX(0,MIN(12*M$4,IF(RentRoll!$K$12="",99999,RentRoll!$K$12))-MAX(12*(M$4-1),RentRoll!$R$12))+RentRoll!$L$12*MAX(0,12*M$4-MAX(12*(M$4-1),IF(RentRoll!$K$12="",99999,RentRoll!$K$12),RentRoll!$R$12)))/12</f>
        <v>8749.48218147489</v>
      </c>
      <c r="N13" s="71" t="n">
        <f aca="false">RentRoll!$H$12*RentRoll!$P$12*(1+IF(RentRoll!$I$12="",RentGrowth+$B$6,RentRoll!$I$12))^(N$4-1)*(MAX(0,MIN(12*N$4,IF(RentRoll!$K$12="",99999,RentRoll!$K$12))-MAX(12*(N$4-1),RentRoll!$R$12))+RentRoll!$L$12*MAX(0,12*N$4-MAX(12*(N$4-1),IF(RentRoll!$K$12="",99999,RentRoll!$K$12),RentRoll!$R$12)))/12</f>
        <v>8836.97700328964</v>
      </c>
    </row>
    <row r="14" customFormat="false" ht="15" hidden="false" customHeight="false" outlineLevel="0" collapsed="false">
      <c r="A14" s="91" t="str">
        <f aca="false">RentRoll!B13</f>
        <v>Prime expansion (+1 ac)</v>
      </c>
      <c r="D14" s="71" t="n">
        <f aca="false">RentRoll!$H$13*RentRoll!$P$13*(1+IF(RentRoll!$I$13="",RentGrowth+$B$6,RentRoll!$I$13))^(D$4-1)*(MAX(0,MIN(12*D$4,IF(RentRoll!$K$13="",99999,RentRoll!$K$13))-MAX(12*(D$4-1),RentRoll!$R$13))+RentRoll!$L$13*MAX(0,12*D$4-MAX(12*(D$4-1),IF(RentRoll!$K$13="",99999,RentRoll!$K$13),RentRoll!$R$13)))/12</f>
        <v>31500</v>
      </c>
      <c r="E14" s="71" t="n">
        <f aca="false">RentRoll!$H$13*RentRoll!$P$13*(1+IF(RentRoll!$I$13="",RentGrowth+$B$6,RentRoll!$I$13))^(E$4-1)*(MAX(0,MIN(12*E$4,IF(RentRoll!$K$13="",99999,RentRoll!$K$13))-MAX(12*(E$4-1),RentRoll!$R$13))+RentRoll!$L$13*MAX(0,12*E$4-MAX(12*(E$4-1),IF(RentRoll!$K$13="",99999,RentRoll!$K$13),RentRoll!$R$13)))/12</f>
        <v>42420</v>
      </c>
      <c r="F14" s="71" t="n">
        <f aca="false">RentRoll!$H$13*RentRoll!$P$13*(1+IF(RentRoll!$I$13="",RentGrowth+$B$6,RentRoll!$I$13))^(F$4-1)*(MAX(0,MIN(12*F$4,IF(RentRoll!$K$13="",99999,RentRoll!$K$13))-MAX(12*(F$4-1),RentRoll!$R$13))+RentRoll!$L$13*MAX(0,12*F$4-MAX(12*(F$4-1),IF(RentRoll!$K$13="",99999,RentRoll!$K$13),RentRoll!$R$13)))/12</f>
        <v>42844.2</v>
      </c>
      <c r="G14" s="71" t="n">
        <f aca="false">RentRoll!$H$13*RentRoll!$P$13*(1+IF(RentRoll!$I$13="",RentGrowth+$B$6,RentRoll!$I$13))^(G$4-1)*(MAX(0,MIN(12*G$4,IF(RentRoll!$K$13="",99999,RentRoll!$K$13))-MAX(12*(G$4-1),RentRoll!$R$13))+RentRoll!$L$13*MAX(0,12*G$4-MAX(12*(G$4-1),IF(RentRoll!$K$13="",99999,RentRoll!$K$13),RentRoll!$R$13)))/12</f>
        <v>43272.642</v>
      </c>
      <c r="H14" s="71" t="n">
        <f aca="false">RentRoll!$H$13*RentRoll!$P$13*(1+IF(RentRoll!$I$13="",RentGrowth+$B$6,RentRoll!$I$13))^(H$4-1)*(MAX(0,MIN(12*H$4,IF(RentRoll!$K$13="",99999,RentRoll!$K$13))-MAX(12*(H$4-1),RentRoll!$R$13))+RentRoll!$L$13*MAX(0,12*H$4-MAX(12*(H$4-1),IF(RentRoll!$K$13="",99999,RentRoll!$K$13),RentRoll!$R$13)))/12</f>
        <v>43705.36842</v>
      </c>
      <c r="I14" s="71" t="n">
        <f aca="false">RentRoll!$H$13*RentRoll!$P$13*(1+IF(RentRoll!$I$13="",RentGrowth+$B$6,RentRoll!$I$13))^(I$4-1)*(MAX(0,MIN(12*I$4,IF(RentRoll!$K$13="",99999,RentRoll!$K$13))-MAX(12*(I$4-1),RentRoll!$R$13))+RentRoll!$L$13*MAX(0,12*I$4-MAX(12*(I$4-1),IF(RentRoll!$K$13="",99999,RentRoll!$K$13),RentRoll!$R$13)))/12</f>
        <v>44142.4221042</v>
      </c>
      <c r="J14" s="71" t="n">
        <f aca="false">RentRoll!$H$13*RentRoll!$P$13*(1+IF(RentRoll!$I$13="",RentGrowth+$B$6,RentRoll!$I$13))^(J$4-1)*(MAX(0,MIN(12*J$4,IF(RentRoll!$K$13="",99999,RentRoll!$K$13))-MAX(12*(J$4-1),RentRoll!$R$13))+RentRoll!$L$13*MAX(0,12*J$4-MAX(12*(J$4-1),IF(RentRoll!$K$13="",99999,RentRoll!$K$13),RentRoll!$R$13)))/12</f>
        <v>44583.846325242</v>
      </c>
      <c r="K14" s="71" t="n">
        <f aca="false">RentRoll!$H$13*RentRoll!$P$13*(1+IF(RentRoll!$I$13="",RentGrowth+$B$6,RentRoll!$I$13))^(K$4-1)*(MAX(0,MIN(12*K$4,IF(RentRoll!$K$13="",99999,RentRoll!$K$13))-MAX(12*(K$4-1),RentRoll!$R$13))+RentRoll!$L$13*MAX(0,12*K$4-MAX(12*(K$4-1),IF(RentRoll!$K$13="",99999,RentRoll!$K$13),RentRoll!$R$13)))/12</f>
        <v>45029.6847884944</v>
      </c>
      <c r="L14" s="71" t="n">
        <f aca="false">RentRoll!$H$13*RentRoll!$P$13*(1+IF(RentRoll!$I$13="",RentGrowth+$B$6,RentRoll!$I$13))^(L$4-1)*(MAX(0,MIN(12*L$4,IF(RentRoll!$K$13="",99999,RentRoll!$K$13))-MAX(12*(L$4-1),RentRoll!$R$13))+RentRoll!$L$13*MAX(0,12*L$4-MAX(12*(L$4-1),IF(RentRoll!$K$13="",99999,RentRoll!$K$13),RentRoll!$R$13)))/12</f>
        <v>45479.9816363794</v>
      </c>
      <c r="M14" s="71" t="n">
        <f aca="false">RentRoll!$H$13*RentRoll!$P$13*(1+IF(RentRoll!$I$13="",RentGrowth+$B$6,RentRoll!$I$13))^(M$4-1)*(MAX(0,MIN(12*M$4,IF(RentRoll!$K$13="",99999,RentRoll!$K$13))-MAX(12*(M$4-1),RentRoll!$R$13))+RentRoll!$L$13*MAX(0,12*M$4-MAX(12*(M$4-1),IF(RentRoll!$K$13="",99999,RentRoll!$K$13),RentRoll!$R$13)))/12</f>
        <v>45934.7814527432</v>
      </c>
      <c r="N14" s="71" t="n">
        <f aca="false">RentRoll!$H$13*RentRoll!$P$13*(1+IF(RentRoll!$I$13="",RentGrowth+$B$6,RentRoll!$I$13))^(N$4-1)*(MAX(0,MIN(12*N$4,IF(RentRoll!$K$13="",99999,RentRoll!$K$13))-MAX(12*(N$4-1),RentRoll!$R$13))+RentRoll!$L$13*MAX(0,12*N$4-MAX(12*(N$4-1),IF(RentRoll!$K$13="",99999,RentRoll!$K$13),RentRoll!$R$13)))/12</f>
        <v>46394.1292672706</v>
      </c>
    </row>
    <row r="15" customFormat="false" ht="15" hidden="false" customHeight="false" outlineLevel="0" collapsed="false">
      <c r="A15" s="91" t="str">
        <f aca="false">RentRoll!B14</f>
        <v>Straight 6 expansion (~10 spots)</v>
      </c>
      <c r="D15" s="71" t="n">
        <f aca="false">RentRoll!$H$14*RentRoll!$P$14*(1+IF(RentRoll!$I$14="",RentGrowth+$B$6,RentRoll!$I$14))^(D$4-1)*(MAX(0,MIN(12*D$4,IF(RentRoll!$K$14="",99999,RentRoll!$K$14))-MAX(12*(D$4-1),RentRoll!$R$14))+RentRoll!$L$14*MAX(0,12*D$4-MAX(12*(D$4-1),IF(RentRoll!$K$14="",99999,RentRoll!$K$14),RentRoll!$R$14)))/12</f>
        <v>9000</v>
      </c>
      <c r="E15" s="71" t="n">
        <f aca="false">RentRoll!$H$14*RentRoll!$P$14*(1+IF(RentRoll!$I$14="",RentGrowth+$B$6,RentRoll!$I$14))^(E$4-1)*(MAX(0,MIN(12*E$4,IF(RentRoll!$K$14="",99999,RentRoll!$K$14))-MAX(12*(E$4-1),RentRoll!$R$14))+RentRoll!$L$14*MAX(0,12*E$4-MAX(12*(E$4-1),IF(RentRoll!$K$14="",99999,RentRoll!$K$14),RentRoll!$R$14)))/12</f>
        <v>12120</v>
      </c>
      <c r="F15" s="71" t="n">
        <f aca="false">RentRoll!$H$14*RentRoll!$P$14*(1+IF(RentRoll!$I$14="",RentGrowth+$B$6,RentRoll!$I$14))^(F$4-1)*(MAX(0,MIN(12*F$4,IF(RentRoll!$K$14="",99999,RentRoll!$K$14))-MAX(12*(F$4-1),RentRoll!$R$14))+RentRoll!$L$14*MAX(0,12*F$4-MAX(12*(F$4-1),IF(RentRoll!$K$14="",99999,RentRoll!$K$14),RentRoll!$R$14)))/12</f>
        <v>12241.2</v>
      </c>
      <c r="G15" s="71" t="n">
        <f aca="false">RentRoll!$H$14*RentRoll!$P$14*(1+IF(RentRoll!$I$14="",RentGrowth+$B$6,RentRoll!$I$14))^(G$4-1)*(MAX(0,MIN(12*G$4,IF(RentRoll!$K$14="",99999,RentRoll!$K$14))-MAX(12*(G$4-1),RentRoll!$R$14))+RentRoll!$L$14*MAX(0,12*G$4-MAX(12*(G$4-1),IF(RentRoll!$K$14="",99999,RentRoll!$K$14),RentRoll!$R$14)))/12</f>
        <v>12363.612</v>
      </c>
      <c r="H15" s="71" t="n">
        <f aca="false">RentRoll!$H$14*RentRoll!$P$14*(1+IF(RentRoll!$I$14="",RentGrowth+$B$6,RentRoll!$I$14))^(H$4-1)*(MAX(0,MIN(12*H$4,IF(RentRoll!$K$14="",99999,RentRoll!$K$14))-MAX(12*(H$4-1),RentRoll!$R$14))+RentRoll!$L$14*MAX(0,12*H$4-MAX(12*(H$4-1),IF(RentRoll!$K$14="",99999,RentRoll!$K$14),RentRoll!$R$14)))/12</f>
        <v>12487.24812</v>
      </c>
      <c r="I15" s="71" t="n">
        <f aca="false">RentRoll!$H$14*RentRoll!$P$14*(1+IF(RentRoll!$I$14="",RentGrowth+$B$6,RentRoll!$I$14))^(I$4-1)*(MAX(0,MIN(12*I$4,IF(RentRoll!$K$14="",99999,RentRoll!$K$14))-MAX(12*(I$4-1),RentRoll!$R$14))+RentRoll!$L$14*MAX(0,12*I$4-MAX(12*(I$4-1),IF(RentRoll!$K$14="",99999,RentRoll!$K$14),RentRoll!$R$14)))/12</f>
        <v>12612.1206012</v>
      </c>
      <c r="J15" s="71" t="n">
        <f aca="false">RentRoll!$H$14*RentRoll!$P$14*(1+IF(RentRoll!$I$14="",RentGrowth+$B$6,RentRoll!$I$14))^(J$4-1)*(MAX(0,MIN(12*J$4,IF(RentRoll!$K$14="",99999,RentRoll!$K$14))-MAX(12*(J$4-1),RentRoll!$R$14))+RentRoll!$L$14*MAX(0,12*J$4-MAX(12*(J$4-1),IF(RentRoll!$K$14="",99999,RentRoll!$K$14),RentRoll!$R$14)))/12</f>
        <v>12738.241807212</v>
      </c>
      <c r="K15" s="71" t="n">
        <f aca="false">RentRoll!$H$14*RentRoll!$P$14*(1+IF(RentRoll!$I$14="",RentGrowth+$B$6,RentRoll!$I$14))^(K$4-1)*(MAX(0,MIN(12*K$4,IF(RentRoll!$K$14="",99999,RentRoll!$K$14))-MAX(12*(K$4-1),RentRoll!$R$14))+RentRoll!$L$14*MAX(0,12*K$4-MAX(12*(K$4-1),IF(RentRoll!$K$14="",99999,RentRoll!$K$14),RentRoll!$R$14)))/12</f>
        <v>12865.6242252841</v>
      </c>
      <c r="L15" s="71" t="n">
        <f aca="false">RentRoll!$H$14*RentRoll!$P$14*(1+IF(RentRoll!$I$14="",RentGrowth+$B$6,RentRoll!$I$14))^(L$4-1)*(MAX(0,MIN(12*L$4,IF(RentRoll!$K$14="",99999,RentRoll!$K$14))-MAX(12*(L$4-1),RentRoll!$R$14))+RentRoll!$L$14*MAX(0,12*L$4-MAX(12*(L$4-1),IF(RentRoll!$K$14="",99999,RentRoll!$K$14),RentRoll!$R$14)))/12</f>
        <v>12994.280467537</v>
      </c>
      <c r="M15" s="71" t="n">
        <f aca="false">RentRoll!$H$14*RentRoll!$P$14*(1+IF(RentRoll!$I$14="",RentGrowth+$B$6,RentRoll!$I$14))^(M$4-1)*(MAX(0,MIN(12*M$4,IF(RentRoll!$K$14="",99999,RentRoll!$K$14))-MAX(12*(M$4-1),RentRoll!$R$14))+RentRoll!$L$14*MAX(0,12*M$4-MAX(12*(M$4-1),IF(RentRoll!$K$14="",99999,RentRoll!$K$14),RentRoll!$R$14)))/12</f>
        <v>13124.2232722123</v>
      </c>
      <c r="N15" s="71" t="n">
        <f aca="false">RentRoll!$H$14*RentRoll!$P$14*(1+IF(RentRoll!$I$14="",RentGrowth+$B$6,RentRoll!$I$14))^(N$4-1)*(MAX(0,MIN(12*N$4,IF(RentRoll!$K$14="",99999,RentRoll!$K$14))-MAX(12*(N$4-1),RentRoll!$R$14))+RentRoll!$L$14*MAX(0,12*N$4-MAX(12*(N$4-1),IF(RentRoll!$K$14="",99999,RentRoll!$K$14),RentRoll!$R$14)))/12</f>
        <v>13255.4655049345</v>
      </c>
    </row>
    <row r="16" customFormat="false" ht="15" hidden="false" customHeight="false" outlineLevel="0" collapsed="false">
      <c r="A16" s="91" t="str">
        <f aca="false">RentRoll!B15</f>
        <v>Large tenant (~5.75 ac, in county)</v>
      </c>
      <c r="D16" s="71" t="n">
        <f aca="false">RentRoll!$H$15*RentRoll!$P$15*(1+IF(RentRoll!$I$15="",RentGrowth+$B$6,RentRoll!$I$15))^(D$4-1)*(MAX(0,MIN(12*D$4,IF(RentRoll!$K$15="",99999,RentRoll!$K$15))-MAX(12*(D$4-1),RentRoll!$R$15))+RentRoll!$L$15*MAX(0,12*D$4-MAX(12*(D$4-1),IF(RentRoll!$K$15="",99999,RentRoll!$K$15),RentRoll!$R$15)))/12</f>
        <v>0</v>
      </c>
      <c r="E16" s="71" t="n">
        <f aca="false">RentRoll!$H$15*RentRoll!$P$15*(1+IF(RentRoll!$I$15="",RentGrowth+$B$6,RentRoll!$I$15))^(E$4-1)*(MAX(0,MIN(12*E$4,IF(RentRoll!$K$15="",99999,RentRoll!$K$15))-MAX(12*(E$4-1),RentRoll!$R$15))+RentRoll!$L$15*MAX(0,12*E$4-MAX(12*(E$4-1),IF(RentRoll!$K$15="",99999,RentRoll!$K$15),RentRoll!$R$15)))/12</f>
        <v>0</v>
      </c>
      <c r="F16" s="71" t="n">
        <f aca="false">RentRoll!$H$15*RentRoll!$P$15*(1+IF(RentRoll!$I$15="",RentGrowth+$B$6,RentRoll!$I$15))^(F$4-1)*(MAX(0,MIN(12*F$4,IF(RentRoll!$K$15="",99999,RentRoll!$K$15))-MAX(12*(F$4-1),RentRoll!$R$15))+RentRoll!$L$15*MAX(0,12*F$4-MAX(12*(F$4-1),IF(RentRoll!$K$15="",99999,RentRoll!$K$15),RentRoll!$R$15)))/12</f>
        <v>0</v>
      </c>
      <c r="G16" s="71" t="n">
        <f aca="false">RentRoll!$H$15*RentRoll!$P$15*(1+IF(RentRoll!$I$15="",RentGrowth+$B$6,RentRoll!$I$15))^(G$4-1)*(MAX(0,MIN(12*G$4,IF(RentRoll!$K$15="",99999,RentRoll!$K$15))-MAX(12*(G$4-1),RentRoll!$R$15))+RentRoll!$L$15*MAX(0,12*G$4-MAX(12*(G$4-1),IF(RentRoll!$K$15="",99999,RentRoll!$K$15),RentRoll!$R$15)))/12</f>
        <v>0</v>
      </c>
      <c r="H16" s="71" t="n">
        <f aca="false">RentRoll!$H$15*RentRoll!$P$15*(1+IF(RentRoll!$I$15="",RentGrowth+$B$6,RentRoll!$I$15))^(H$4-1)*(MAX(0,MIN(12*H$4,IF(RentRoll!$K$15="",99999,RentRoll!$K$15))-MAX(12*(H$4-1),RentRoll!$R$15))+RentRoll!$L$15*MAX(0,12*H$4-MAX(12*(H$4-1),IF(RentRoll!$K$15="",99999,RentRoll!$K$15),RentRoll!$R$15)))/12</f>
        <v>0</v>
      </c>
      <c r="I16" s="71" t="n">
        <f aca="false">RentRoll!$H$15*RentRoll!$P$15*(1+IF(RentRoll!$I$15="",RentGrowth+$B$6,RentRoll!$I$15))^(I$4-1)*(MAX(0,MIN(12*I$4,IF(RentRoll!$K$15="",99999,RentRoll!$K$15))-MAX(12*(I$4-1),RentRoll!$R$15))+RentRoll!$L$15*MAX(0,12*I$4-MAX(12*(I$4-1),IF(RentRoll!$K$15="",99999,RentRoll!$K$15),RentRoll!$R$15)))/12</f>
        <v>0</v>
      </c>
      <c r="J16" s="71" t="n">
        <f aca="false">RentRoll!$H$15*RentRoll!$P$15*(1+IF(RentRoll!$I$15="",RentGrowth+$B$6,RentRoll!$I$15))^(J$4-1)*(MAX(0,MIN(12*J$4,IF(RentRoll!$K$15="",99999,RentRoll!$K$15))-MAX(12*(J$4-1),RentRoll!$R$15))+RentRoll!$L$15*MAX(0,12*J$4-MAX(12*(J$4-1),IF(RentRoll!$K$15="",99999,RentRoll!$K$15),RentRoll!$R$15)))/12</f>
        <v>0</v>
      </c>
      <c r="K16" s="71" t="n">
        <f aca="false">RentRoll!$H$15*RentRoll!$P$15*(1+IF(RentRoll!$I$15="",RentGrowth+$B$6,RentRoll!$I$15))^(K$4-1)*(MAX(0,MIN(12*K$4,IF(RentRoll!$K$15="",99999,RentRoll!$K$15))-MAX(12*(K$4-1),RentRoll!$R$15))+RentRoll!$L$15*MAX(0,12*K$4-MAX(12*(K$4-1),IF(RentRoll!$K$15="",99999,RentRoll!$K$15),RentRoll!$R$15)))/12</f>
        <v>0</v>
      </c>
      <c r="L16" s="71" t="n">
        <f aca="false">RentRoll!$H$15*RentRoll!$P$15*(1+IF(RentRoll!$I$15="",RentGrowth+$B$6,RentRoll!$I$15))^(L$4-1)*(MAX(0,MIN(12*L$4,IF(RentRoll!$K$15="",99999,RentRoll!$K$15))-MAX(12*(L$4-1),RentRoll!$R$15))+RentRoll!$L$15*MAX(0,12*L$4-MAX(12*(L$4-1),IF(RentRoll!$K$15="",99999,RentRoll!$K$15),RentRoll!$R$15)))/12</f>
        <v>0</v>
      </c>
      <c r="M16" s="71" t="n">
        <f aca="false">RentRoll!$H$15*RentRoll!$P$15*(1+IF(RentRoll!$I$15="",RentGrowth+$B$6,RentRoll!$I$15))^(M$4-1)*(MAX(0,MIN(12*M$4,IF(RentRoll!$K$15="",99999,RentRoll!$K$15))-MAX(12*(M$4-1),RentRoll!$R$15))+RentRoll!$L$15*MAX(0,12*M$4-MAX(12*(M$4-1),IF(RentRoll!$K$15="",99999,RentRoll!$K$15),RentRoll!$R$15)))/12</f>
        <v>0</v>
      </c>
      <c r="N16" s="71" t="n">
        <f aca="false">RentRoll!$H$15*RentRoll!$P$15*(1+IF(RentRoll!$I$15="",RentGrowth+$B$6,RentRoll!$I$15))^(N$4-1)*(MAX(0,MIN(12*N$4,IF(RentRoll!$K$15="",99999,RentRoll!$K$15))-MAX(12*(N$4-1),RentRoll!$R$15))+RentRoll!$L$15*MAX(0,12*N$4-MAX(12*(N$4-1),IF(RentRoll!$K$15="",99999,RentRoll!$K$15),RentRoll!$R$15)))/12</f>
        <v>0</v>
      </c>
    </row>
    <row r="17" customFormat="false" ht="15" hidden="false" customHeight="false" outlineLevel="0" collapsed="false">
      <c r="A17" s="79" t="s">
        <v>210</v>
      </c>
      <c r="D17" s="80" t="n">
        <f aca="false">SUM(D7:D16)</f>
        <v>457700</v>
      </c>
      <c r="E17" s="80" t="n">
        <f aca="false">SUM(E7:E16)</f>
        <v>479032</v>
      </c>
      <c r="F17" s="80" t="n">
        <f aca="false">SUM(F7:F16)</f>
        <v>478467.08</v>
      </c>
      <c r="G17" s="80" t="n">
        <f aca="false">SUM(G7:G16)</f>
        <v>486561.7588</v>
      </c>
      <c r="H17" s="80" t="n">
        <f aca="false">SUM(H7:H16)</f>
        <v>494836.684628</v>
      </c>
      <c r="I17" s="80" t="n">
        <f aca="false">SUM(I7:I16)</f>
        <v>476169.62562286</v>
      </c>
      <c r="J17" s="80" t="n">
        <f aca="false">SUM(J7:J16)</f>
        <v>484005.716724132</v>
      </c>
      <c r="K17" s="80" t="n">
        <f aca="false">SUM(K7:K16)</f>
        <v>492012.400581769</v>
      </c>
      <c r="L17" s="80" t="n">
        <f aca="false">SUM(L7:L16)</f>
        <v>500194.150078693</v>
      </c>
      <c r="M17" s="80" t="n">
        <f aca="false">SUM(M7:M16)</f>
        <v>508555.56583532</v>
      </c>
      <c r="N17" s="80" t="n">
        <f aca="false">SUM(N7:N16)</f>
        <v>517101.379977188</v>
      </c>
    </row>
    <row r="18" customFormat="false" ht="15" hidden="false" customHeight="false" outlineLevel="0" collapsed="false">
      <c r="A18" s="79" t="s">
        <v>46</v>
      </c>
      <c r="D18" s="80" t="n">
        <f aca="false">D17*(1-Vacancy)*(1-MgmtPct)+SUM(CashFlow!D24:D26)</f>
        <v>427815</v>
      </c>
      <c r="E18" s="80" t="n">
        <f aca="false">E17*(1-Vacancy)*(1-MgmtPct)+SUM(CashFlow!E24:E26)</f>
        <v>447870.4</v>
      </c>
      <c r="F18" s="80" t="n">
        <f aca="false">F17*(1-Vacancy)*(1-MgmtPct)+SUM(CashFlow!F24:F26)</f>
        <v>447117.426</v>
      </c>
      <c r="G18" s="80" t="n">
        <f aca="false">G17*(1-Vacancy)*(1-MgmtPct)+SUM(CashFlow!G24:G26)</f>
        <v>454584.58186</v>
      </c>
      <c r="H18" s="80" t="n">
        <f aca="false">H17*(1-Vacancy)*(1-MgmtPct)+SUM(CashFlow!H24:H26)</f>
        <v>462216.2887266</v>
      </c>
      <c r="I18" s="80" t="n">
        <f aca="false">I17*(1-Vacancy)*(1-MgmtPct)+SUM(CashFlow!I24:I26)</f>
        <v>444246.225821617</v>
      </c>
      <c r="J18" s="80" t="n">
        <f aca="false">J17*(1-Vacancy)*(1-MgmtPct)+SUM(CashFlow!J24:J26)</f>
        <v>451447.064812223</v>
      </c>
      <c r="K18" s="80" t="n">
        <f aca="false">K17*(1-Vacancy)*(1-MgmtPct)+SUM(CashFlow!K24:K26)</f>
        <v>458802.663494706</v>
      </c>
      <c r="L18" s="80" t="n">
        <f aca="false">L17*(1-Vacancy)*(1-MgmtPct)+SUM(CashFlow!L24:L26)</f>
        <v>466317.052005045</v>
      </c>
      <c r="M18" s="80" t="n">
        <f aca="false">M17*(1-Vacancy)*(1-MgmtPct)+SUM(CashFlow!M24:M26)</f>
        <v>473994.375256749</v>
      </c>
      <c r="N18" s="80" t="n">
        <f aca="false">N17*(1-Vacancy)*(1-MgmtPct)+SUM(CashFlow!N24:N26)</f>
        <v>481838.89632292</v>
      </c>
    </row>
    <row r="20" customFormat="false" ht="15" hidden="false" customHeight="false" outlineLevel="0" collapsed="false">
      <c r="A20" s="57" t="s">
        <v>269</v>
      </c>
      <c r="B20" s="102" t="n">
        <f aca="false">(1-2)*StepG</f>
        <v>-0.01</v>
      </c>
      <c r="C20" s="57"/>
      <c r="D20" s="57"/>
      <c r="E20" s="57"/>
      <c r="F20" s="57"/>
      <c r="G20" s="57"/>
      <c r="H20" s="57"/>
      <c r="I20" s="57"/>
      <c r="J20" s="57"/>
      <c r="K20" s="57"/>
      <c r="L20" s="57"/>
      <c r="M20" s="57"/>
      <c r="N20" s="57"/>
    </row>
    <row r="21" customFormat="false" ht="15" hidden="false" customHeight="false" outlineLevel="0" collapsed="false">
      <c r="A21" s="91" t="str">
        <f aca="false">RentRoll!B6</f>
        <v>S&amp;A Leasing</v>
      </c>
      <c r="D21" s="71" t="n">
        <f aca="false">RentRoll!$H$6*RentRoll!$P$6*(1+IF(RentRoll!$I$6="",RentGrowth+$B$20,RentRoll!$I$6))^(D$4-1)*(MAX(0,MIN(12*D$4,IF(RentRoll!$K$6="",99999,RentRoll!$K$6))-MAX(12*(D$4-1),RentRoll!$R$6))+RentRoll!$L$6*MAX(0,12*D$4-MAX(12*(D$4-1),IF(RentRoll!$K$6="",99999,RentRoll!$K$6),RentRoll!$R$6)))/12</f>
        <v>156000</v>
      </c>
      <c r="E21" s="71" t="n">
        <f aca="false">RentRoll!$H$6*RentRoll!$P$6*(1+IF(RentRoll!$I$6="",RentGrowth+$B$20,RentRoll!$I$6))^(E$4-1)*(MAX(0,MIN(12*E$4,IF(RentRoll!$K$6="",99999,RentRoll!$K$6))-MAX(12*(E$4-1),RentRoll!$R$6))+RentRoll!$L$6*MAX(0,12*E$4-MAX(12*(E$4-1),IF(RentRoll!$K$6="",99999,RentRoll!$K$6),RentRoll!$R$6)))/12</f>
        <v>160680</v>
      </c>
      <c r="F21" s="71" t="n">
        <f aca="false">RentRoll!$H$6*RentRoll!$P$6*(1+IF(RentRoll!$I$6="",RentGrowth+$B$20,RentRoll!$I$6))^(F$4-1)*(MAX(0,MIN(12*F$4,IF(RentRoll!$K$6="",99999,RentRoll!$K$6))-MAX(12*(F$4-1),RentRoll!$R$6))+RentRoll!$L$6*MAX(0,12*F$4-MAX(12*(F$4-1),IF(RentRoll!$K$6="",99999,RentRoll!$K$6),RentRoll!$R$6)))/12</f>
        <v>165500.4</v>
      </c>
      <c r="G21" s="71" t="n">
        <f aca="false">RentRoll!$H$6*RentRoll!$P$6*(1+IF(RentRoll!$I$6="",RentGrowth+$B$20,RentRoll!$I$6))^(G$4-1)*(MAX(0,MIN(12*G$4,IF(RentRoll!$K$6="",99999,RentRoll!$K$6))-MAX(12*(G$4-1),RentRoll!$R$6))+RentRoll!$L$6*MAX(0,12*G$4-MAX(12*(G$4-1),IF(RentRoll!$K$6="",99999,RentRoll!$K$6),RentRoll!$R$6)))/12</f>
        <v>170465.412</v>
      </c>
      <c r="H21" s="71" t="n">
        <f aca="false">RentRoll!$H$6*RentRoll!$P$6*(1+IF(RentRoll!$I$6="",RentGrowth+$B$20,RentRoll!$I$6))^(H$4-1)*(MAX(0,MIN(12*H$4,IF(RentRoll!$K$6="",99999,RentRoll!$K$6))-MAX(12*(H$4-1),RentRoll!$R$6))+RentRoll!$L$6*MAX(0,12*H$4-MAX(12*(H$4-1),IF(RentRoll!$K$6="",99999,RentRoll!$K$6),RentRoll!$R$6)))/12</f>
        <v>175579.37436</v>
      </c>
      <c r="I21" s="71" t="n">
        <f aca="false">RentRoll!$H$6*RentRoll!$P$6*(1+IF(RentRoll!$I$6="",RentGrowth+$B$20,RentRoll!$I$6))^(I$4-1)*(MAX(0,MIN(12*I$4,IF(RentRoll!$K$6="",99999,RentRoll!$K$6))-MAX(12*(I$4-1),RentRoll!$R$6))+RentRoll!$L$6*MAX(0,12*I$4-MAX(12*(I$4-1),IF(RentRoll!$K$6="",99999,RentRoll!$K$6),RentRoll!$R$6)))/12</f>
        <v>153719.74225218</v>
      </c>
      <c r="J21" s="71" t="n">
        <f aca="false">RentRoll!$H$6*RentRoll!$P$6*(1+IF(RentRoll!$I$6="",RentGrowth+$B$20,RentRoll!$I$6))^(J$4-1)*(MAX(0,MIN(12*J$4,IF(RentRoll!$K$6="",99999,RentRoll!$K$6))-MAX(12*(J$4-1),RentRoll!$R$6))+RentRoll!$L$6*MAX(0,12*J$4-MAX(12*(J$4-1),IF(RentRoll!$K$6="",99999,RentRoll!$K$6),RentRoll!$R$6)))/12</f>
        <v>158331.334519745</v>
      </c>
      <c r="K21" s="71" t="n">
        <f aca="false">RentRoll!$H$6*RentRoll!$P$6*(1+IF(RentRoll!$I$6="",RentGrowth+$B$20,RentRoll!$I$6))^(K$4-1)*(MAX(0,MIN(12*K$4,IF(RentRoll!$K$6="",99999,RentRoll!$K$6))-MAX(12*(K$4-1),RentRoll!$R$6))+RentRoll!$L$6*MAX(0,12*K$4-MAX(12*(K$4-1),IF(RentRoll!$K$6="",99999,RentRoll!$K$6),RentRoll!$R$6)))/12</f>
        <v>163081.274555338</v>
      </c>
      <c r="L21" s="71" t="n">
        <f aca="false">RentRoll!$H$6*RentRoll!$P$6*(1+IF(RentRoll!$I$6="",RentGrowth+$B$20,RentRoll!$I$6))^(L$4-1)*(MAX(0,MIN(12*L$4,IF(RentRoll!$K$6="",99999,RentRoll!$K$6))-MAX(12*(L$4-1),RentRoll!$R$6))+RentRoll!$L$6*MAX(0,12*L$4-MAX(12*(L$4-1),IF(RentRoll!$K$6="",99999,RentRoll!$K$6),RentRoll!$R$6)))/12</f>
        <v>167973.712791998</v>
      </c>
      <c r="M21" s="71" t="n">
        <f aca="false">RentRoll!$H$6*RentRoll!$P$6*(1+IF(RentRoll!$I$6="",RentGrowth+$B$20,RentRoll!$I$6))^(M$4-1)*(MAX(0,MIN(12*M$4,IF(RentRoll!$K$6="",99999,RentRoll!$K$6))-MAX(12*(M$4-1),RentRoll!$R$6))+RentRoll!$L$6*MAX(0,12*M$4-MAX(12*(M$4-1),IF(RentRoll!$K$6="",99999,RentRoll!$K$6),RentRoll!$R$6)))/12</f>
        <v>173012.924175758</v>
      </c>
      <c r="N21" s="71" t="n">
        <f aca="false">RentRoll!$H$6*RentRoll!$P$6*(1+IF(RentRoll!$I$6="",RentGrowth+$B$20,RentRoll!$I$6))^(N$4-1)*(MAX(0,MIN(12*N$4,IF(RentRoll!$K$6="",99999,RentRoll!$K$6))-MAX(12*(N$4-1),RentRoll!$R$6))+RentRoll!$L$6*MAX(0,12*N$4-MAX(12*(N$4-1),IF(RentRoll!$K$6="",99999,RentRoll!$K$6),RentRoll!$R$6)))/12</f>
        <v>178203.311901031</v>
      </c>
    </row>
    <row r="22" customFormat="false" ht="15" hidden="false" customHeight="false" outlineLevel="0" collapsed="false">
      <c r="A22" s="91" t="str">
        <f aca="false">RentRoll!B7</f>
        <v>Reindeer (Prime)</v>
      </c>
      <c r="D22" s="71" t="n">
        <f aca="false">RentRoll!$H$7*RentRoll!$P$7*(1+IF(RentRoll!$I$7="",RentGrowth+$B$20,RentRoll!$I$7))^(D$4-1)*(MAX(0,MIN(12*D$4,IF(RentRoll!$K$7="",99999,RentRoll!$K$7))-MAX(12*(D$4-1),RentRoll!$R$7))+RentRoll!$L$7*MAX(0,12*D$4-MAX(12*(D$4-1),IF(RentRoll!$K$7="",99999,RentRoll!$K$7),RentRoll!$R$7)))/12</f>
        <v>84000</v>
      </c>
      <c r="E22" s="71" t="n">
        <f aca="false">RentRoll!$H$7*RentRoll!$P$7*(1+IF(RentRoll!$I$7="",RentGrowth+$B$20,RentRoll!$I$7))^(E$4-1)*(MAX(0,MIN(12*E$4,IF(RentRoll!$K$7="",99999,RentRoll!$K$7))-MAX(12*(E$4-1),RentRoll!$R$7))+RentRoll!$L$7*MAX(0,12*E$4-MAX(12*(E$4-1),IF(RentRoll!$K$7="",99999,RentRoll!$K$7),RentRoll!$R$7)))/12</f>
        <v>85680</v>
      </c>
      <c r="F22" s="71" t="n">
        <f aca="false">RentRoll!$H$7*RentRoll!$P$7*(1+IF(RentRoll!$I$7="",RentGrowth+$B$20,RentRoll!$I$7))^(F$4-1)*(MAX(0,MIN(12*F$4,IF(RentRoll!$K$7="",99999,RentRoll!$K$7))-MAX(12*(F$4-1),RentRoll!$R$7))+RentRoll!$L$7*MAX(0,12*F$4-MAX(12*(F$4-1),IF(RentRoll!$K$7="",99999,RentRoll!$K$7),RentRoll!$R$7)))/12</f>
        <v>78654.24</v>
      </c>
      <c r="G22" s="71" t="n">
        <f aca="false">RentRoll!$H$7*RentRoll!$P$7*(1+IF(RentRoll!$I$7="",RentGrowth+$B$20,RentRoll!$I$7))^(G$4-1)*(MAX(0,MIN(12*G$4,IF(RentRoll!$K$7="",99999,RentRoll!$K$7))-MAX(12*(G$4-1),RentRoll!$R$7))+RentRoll!$L$7*MAX(0,12*G$4-MAX(12*(G$4-1),IF(RentRoll!$K$7="",99999,RentRoll!$K$7),RentRoll!$R$7)))/12</f>
        <v>80227.3248</v>
      </c>
      <c r="H22" s="71" t="n">
        <f aca="false">RentRoll!$H$7*RentRoll!$P$7*(1+IF(RentRoll!$I$7="",RentGrowth+$B$20,RentRoll!$I$7))^(H$4-1)*(MAX(0,MIN(12*H$4,IF(RentRoll!$K$7="",99999,RentRoll!$K$7))-MAX(12*(H$4-1),RentRoll!$R$7))+RentRoll!$L$7*MAX(0,12*H$4-MAX(12*(H$4-1),IF(RentRoll!$K$7="",99999,RentRoll!$K$7),RentRoll!$R$7)))/12</f>
        <v>81831.871296</v>
      </c>
      <c r="I22" s="71" t="n">
        <f aca="false">RentRoll!$H$7*RentRoll!$P$7*(1+IF(RentRoll!$I$7="",RentGrowth+$B$20,RentRoll!$I$7))^(I$4-1)*(MAX(0,MIN(12*I$4,IF(RentRoll!$K$7="",99999,RentRoll!$K$7))-MAX(12*(I$4-1),RentRoll!$R$7))+RentRoll!$L$7*MAX(0,12*I$4-MAX(12*(I$4-1),IF(RentRoll!$K$7="",99999,RentRoll!$K$7),RentRoll!$R$7)))/12</f>
        <v>83468.50872192</v>
      </c>
      <c r="J22" s="71" t="n">
        <f aca="false">RentRoll!$H$7*RentRoll!$P$7*(1+IF(RentRoll!$I$7="",RentGrowth+$B$20,RentRoll!$I$7))^(J$4-1)*(MAX(0,MIN(12*J$4,IF(RentRoll!$K$7="",99999,RentRoll!$K$7))-MAX(12*(J$4-1),RentRoll!$R$7))+RentRoll!$L$7*MAX(0,12*J$4-MAX(12*(J$4-1),IF(RentRoll!$K$7="",99999,RentRoll!$K$7),RentRoll!$R$7)))/12</f>
        <v>85137.8788963584</v>
      </c>
      <c r="K22" s="71" t="n">
        <f aca="false">RentRoll!$H$7*RentRoll!$P$7*(1+IF(RentRoll!$I$7="",RentGrowth+$B$20,RentRoll!$I$7))^(K$4-1)*(MAX(0,MIN(12*K$4,IF(RentRoll!$K$7="",99999,RentRoll!$K$7))-MAX(12*(K$4-1),RentRoll!$R$7))+RentRoll!$L$7*MAX(0,12*K$4-MAX(12*(K$4-1),IF(RentRoll!$K$7="",99999,RentRoll!$K$7),RentRoll!$R$7)))/12</f>
        <v>86840.6364742856</v>
      </c>
      <c r="L22" s="71" t="n">
        <f aca="false">RentRoll!$H$7*RentRoll!$P$7*(1+IF(RentRoll!$I$7="",RentGrowth+$B$20,RentRoll!$I$7))^(L$4-1)*(MAX(0,MIN(12*L$4,IF(RentRoll!$K$7="",99999,RentRoll!$K$7))-MAX(12*(L$4-1),RentRoll!$R$7))+RentRoll!$L$7*MAX(0,12*L$4-MAX(12*(L$4-1),IF(RentRoll!$K$7="",99999,RentRoll!$K$7),RentRoll!$R$7)))/12</f>
        <v>88577.4492037713</v>
      </c>
      <c r="M22" s="71" t="n">
        <f aca="false">RentRoll!$H$7*RentRoll!$P$7*(1+IF(RentRoll!$I$7="",RentGrowth+$B$20,RentRoll!$I$7))^(M$4-1)*(MAX(0,MIN(12*M$4,IF(RentRoll!$K$7="",99999,RentRoll!$K$7))-MAX(12*(M$4-1),RentRoll!$R$7))+RentRoll!$L$7*MAX(0,12*M$4-MAX(12*(M$4-1),IF(RentRoll!$K$7="",99999,RentRoll!$K$7),RentRoll!$R$7)))/12</f>
        <v>90348.9981878467</v>
      </c>
      <c r="N22" s="71" t="n">
        <f aca="false">RentRoll!$H$7*RentRoll!$P$7*(1+IF(RentRoll!$I$7="",RentGrowth+$B$20,RentRoll!$I$7))^(N$4-1)*(MAX(0,MIN(12*N$4,IF(RentRoll!$K$7="",99999,RentRoll!$K$7))-MAX(12*(N$4-1),RentRoll!$R$7))+RentRoll!$L$7*MAX(0,12*N$4-MAX(12*(N$4-1),IF(RentRoll!$K$7="",99999,RentRoll!$K$7),RentRoll!$R$7)))/12</f>
        <v>92155.9781516037</v>
      </c>
    </row>
    <row r="23" customFormat="false" ht="15" hidden="false" customHeight="false" outlineLevel="0" collapsed="false">
      <c r="A23" s="91" t="str">
        <f aca="false">RentRoll!B8</f>
        <v>Straight 6</v>
      </c>
      <c r="D23" s="71" t="n">
        <f aca="false">RentRoll!$H$8*RentRoll!$P$8*(1+IF(RentRoll!$I$8="",RentGrowth+$B$20,RentRoll!$I$8))^(D$4-1)*(MAX(0,MIN(12*D$4,IF(RentRoll!$K$8="",99999,RentRoll!$K$8))-MAX(12*(D$4-1),RentRoll!$R$8))+RentRoll!$L$8*MAX(0,12*D$4-MAX(12*(D$4-1),IF(RentRoll!$K$8="",99999,RentRoll!$K$8),RentRoll!$R$8)))/12</f>
        <v>78000</v>
      </c>
      <c r="E23" s="71" t="n">
        <f aca="false">RentRoll!$H$8*RentRoll!$P$8*(1+IF(RentRoll!$I$8="",RentGrowth+$B$20,RentRoll!$I$8))^(E$4-1)*(MAX(0,MIN(12*E$4,IF(RentRoll!$K$8="",99999,RentRoll!$K$8))-MAX(12*(E$4-1),RentRoll!$R$8))+RentRoll!$L$8*MAX(0,12*E$4-MAX(12*(E$4-1),IF(RentRoll!$K$8="",99999,RentRoll!$K$8),RentRoll!$R$8)))/12</f>
        <v>79560</v>
      </c>
      <c r="F23" s="71" t="n">
        <f aca="false">RentRoll!$H$8*RentRoll!$P$8*(1+IF(RentRoll!$I$8="",RentGrowth+$B$20,RentRoll!$I$8))^(F$4-1)*(MAX(0,MIN(12*F$4,IF(RentRoll!$K$8="",99999,RentRoll!$K$8))-MAX(12*(F$4-1),RentRoll!$R$8))+RentRoll!$L$8*MAX(0,12*F$4-MAX(12*(F$4-1),IF(RentRoll!$K$8="",99999,RentRoll!$K$8),RentRoll!$R$8)))/12</f>
        <v>81151.2</v>
      </c>
      <c r="G23" s="71" t="n">
        <f aca="false">RentRoll!$H$8*RentRoll!$P$8*(1+IF(RentRoll!$I$8="",RentGrowth+$B$20,RentRoll!$I$8))^(G$4-1)*(MAX(0,MIN(12*G$4,IF(RentRoll!$K$8="",99999,RentRoll!$K$8))-MAX(12*(G$4-1),RentRoll!$R$8))+RentRoll!$L$8*MAX(0,12*G$4-MAX(12*(G$4-1),IF(RentRoll!$K$8="",99999,RentRoll!$K$8),RentRoll!$R$8)))/12</f>
        <v>82774.224</v>
      </c>
      <c r="H23" s="71" t="n">
        <f aca="false">RentRoll!$H$8*RentRoll!$P$8*(1+IF(RentRoll!$I$8="",RentGrowth+$B$20,RentRoll!$I$8))^(H$4-1)*(MAX(0,MIN(12*H$4,IF(RentRoll!$K$8="",99999,RentRoll!$K$8))-MAX(12*(H$4-1),RentRoll!$R$8))+RentRoll!$L$8*MAX(0,12*H$4-MAX(12*(H$4-1),IF(RentRoll!$K$8="",99999,RentRoll!$K$8),RentRoll!$R$8)))/12</f>
        <v>84429.70848</v>
      </c>
      <c r="I23" s="71" t="n">
        <f aca="false">RentRoll!$H$8*RentRoll!$P$8*(1+IF(RentRoll!$I$8="",RentGrowth+$B$20,RentRoll!$I$8))^(I$4-1)*(MAX(0,MIN(12*I$4,IF(RentRoll!$K$8="",99999,RentRoll!$K$8))-MAX(12*(I$4-1),RentRoll!$R$8))+RentRoll!$L$8*MAX(0,12*I$4-MAX(12*(I$4-1),IF(RentRoll!$K$8="",99999,RentRoll!$K$8),RentRoll!$R$8)))/12</f>
        <v>86118.3026496</v>
      </c>
      <c r="J23" s="71" t="n">
        <f aca="false">RentRoll!$H$8*RentRoll!$P$8*(1+IF(RentRoll!$I$8="",RentGrowth+$B$20,RentRoll!$I$8))^(J$4-1)*(MAX(0,MIN(12*J$4,IF(RentRoll!$K$8="",99999,RentRoll!$K$8))-MAX(12*(J$4-1),RentRoll!$R$8))+RentRoll!$L$8*MAX(0,12*J$4-MAX(12*(J$4-1),IF(RentRoll!$K$8="",99999,RentRoll!$K$8),RentRoll!$R$8)))/12</f>
        <v>87840.668702592</v>
      </c>
      <c r="K23" s="71" t="n">
        <f aca="false">RentRoll!$H$8*RentRoll!$P$8*(1+IF(RentRoll!$I$8="",RentGrowth+$B$20,RentRoll!$I$8))^(K$4-1)*(MAX(0,MIN(12*K$4,IF(RentRoll!$K$8="",99999,RentRoll!$K$8))-MAX(12*(K$4-1),RentRoll!$R$8))+RentRoll!$L$8*MAX(0,12*K$4-MAX(12*(K$4-1),IF(RentRoll!$K$8="",99999,RentRoll!$K$8),RentRoll!$R$8)))/12</f>
        <v>89597.4820766439</v>
      </c>
      <c r="L23" s="71" t="n">
        <f aca="false">RentRoll!$H$8*RentRoll!$P$8*(1+IF(RentRoll!$I$8="",RentGrowth+$B$20,RentRoll!$I$8))^(L$4-1)*(MAX(0,MIN(12*L$4,IF(RentRoll!$K$8="",99999,RentRoll!$K$8))-MAX(12*(L$4-1),RentRoll!$R$8))+RentRoll!$L$8*MAX(0,12*L$4-MAX(12*(L$4-1),IF(RentRoll!$K$8="",99999,RentRoll!$K$8),RentRoll!$R$8)))/12</f>
        <v>91389.4317181767</v>
      </c>
      <c r="M23" s="71" t="n">
        <f aca="false">RentRoll!$H$8*RentRoll!$P$8*(1+IF(RentRoll!$I$8="",RentGrowth+$B$20,RentRoll!$I$8))^(M$4-1)*(MAX(0,MIN(12*M$4,IF(RentRoll!$K$8="",99999,RentRoll!$K$8))-MAX(12*(M$4-1),RentRoll!$R$8))+RentRoll!$L$8*MAX(0,12*M$4-MAX(12*(M$4-1),IF(RentRoll!$K$8="",99999,RentRoll!$K$8),RentRoll!$R$8)))/12</f>
        <v>93217.2203525403</v>
      </c>
      <c r="N23" s="71" t="n">
        <f aca="false">RentRoll!$H$8*RentRoll!$P$8*(1+IF(RentRoll!$I$8="",RentGrowth+$B$20,RentRoll!$I$8))^(N$4-1)*(MAX(0,MIN(12*N$4,IF(RentRoll!$K$8="",99999,RentRoll!$K$8))-MAX(12*(N$4-1),RentRoll!$R$8))+RentRoll!$L$8*MAX(0,12*N$4-MAX(12*(N$4-1),IF(RentRoll!$K$8="",99999,RentRoll!$K$8),RentRoll!$R$8)))/12</f>
        <v>95081.5647595911</v>
      </c>
    </row>
    <row r="24" customFormat="false" ht="15" hidden="false" customHeight="false" outlineLevel="0" collapsed="false">
      <c r="A24" s="91" t="str">
        <f aca="false">RentRoll!B9</f>
        <v>Big Dawgs (repo)</v>
      </c>
      <c r="D24" s="71" t="n">
        <f aca="false">RentRoll!$H$9*RentRoll!$P$9*(1+IF(RentRoll!$I$9="",RentGrowth+$B$20,RentRoll!$I$9))^(D$4-1)*(MAX(0,MIN(12*D$4,IF(RentRoll!$K$9="",99999,RentRoll!$K$9))-MAX(12*(D$4-1),RentRoll!$R$9))+RentRoll!$L$9*MAX(0,12*D$4-MAX(12*(D$4-1),IF(RentRoll!$K$9="",99999,RentRoll!$K$9),RentRoll!$R$9)))/12</f>
        <v>48000</v>
      </c>
      <c r="E24" s="71" t="n">
        <f aca="false">RentRoll!$H$9*RentRoll!$P$9*(1+IF(RentRoll!$I$9="",RentGrowth+$B$20,RentRoll!$I$9))^(E$4-1)*(MAX(0,MIN(12*E$4,IF(RentRoll!$K$9="",99999,RentRoll!$K$9))-MAX(12*(E$4-1),RentRoll!$R$9))+RentRoll!$L$9*MAX(0,12*E$4-MAX(12*(E$4-1),IF(RentRoll!$K$9="",99999,RentRoll!$K$9),RentRoll!$R$9)))/12</f>
        <v>48960</v>
      </c>
      <c r="F24" s="71" t="n">
        <f aca="false">RentRoll!$H$9*RentRoll!$P$9*(1+IF(RentRoll!$I$9="",RentGrowth+$B$20,RentRoll!$I$9))^(F$4-1)*(MAX(0,MIN(12*F$4,IF(RentRoll!$K$9="",99999,RentRoll!$K$9))-MAX(12*(F$4-1),RentRoll!$R$9))+RentRoll!$L$9*MAX(0,12*F$4-MAX(12*(F$4-1),IF(RentRoll!$K$9="",99999,RentRoll!$K$9),RentRoll!$R$9)))/12</f>
        <v>49939.2</v>
      </c>
      <c r="G24" s="71" t="n">
        <f aca="false">RentRoll!$H$9*RentRoll!$P$9*(1+IF(RentRoll!$I$9="",RentGrowth+$B$20,RentRoll!$I$9))^(G$4-1)*(MAX(0,MIN(12*G$4,IF(RentRoll!$K$9="",99999,RentRoll!$K$9))-MAX(12*(G$4-1),RentRoll!$R$9))+RentRoll!$L$9*MAX(0,12*G$4-MAX(12*(G$4-1),IF(RentRoll!$K$9="",99999,RentRoll!$K$9),RentRoll!$R$9)))/12</f>
        <v>50937.984</v>
      </c>
      <c r="H24" s="71" t="n">
        <f aca="false">RentRoll!$H$9*RentRoll!$P$9*(1+IF(RentRoll!$I$9="",RentGrowth+$B$20,RentRoll!$I$9))^(H$4-1)*(MAX(0,MIN(12*H$4,IF(RentRoll!$K$9="",99999,RentRoll!$K$9))-MAX(12*(H$4-1),RentRoll!$R$9))+RentRoll!$L$9*MAX(0,12*H$4-MAX(12*(H$4-1),IF(RentRoll!$K$9="",99999,RentRoll!$K$9),RentRoll!$R$9)))/12</f>
        <v>51956.74368</v>
      </c>
      <c r="I24" s="71" t="n">
        <f aca="false">RentRoll!$H$9*RentRoll!$P$9*(1+IF(RentRoll!$I$9="",RentGrowth+$B$20,RentRoll!$I$9))^(I$4-1)*(MAX(0,MIN(12*I$4,IF(RentRoll!$K$9="",99999,RentRoll!$K$9))-MAX(12*(I$4-1),RentRoll!$R$9))+RentRoll!$L$9*MAX(0,12*I$4-MAX(12*(I$4-1),IF(RentRoll!$K$9="",99999,RentRoll!$K$9),RentRoll!$R$9)))/12</f>
        <v>52995.8785536</v>
      </c>
      <c r="J24" s="71" t="n">
        <f aca="false">RentRoll!$H$9*RentRoll!$P$9*(1+IF(RentRoll!$I$9="",RentGrowth+$B$20,RentRoll!$I$9))^(J$4-1)*(MAX(0,MIN(12*J$4,IF(RentRoll!$K$9="",99999,RentRoll!$K$9))-MAX(12*(J$4-1),RentRoll!$R$9))+RentRoll!$L$9*MAX(0,12*J$4-MAX(12*(J$4-1),IF(RentRoll!$K$9="",99999,RentRoll!$K$9),RentRoll!$R$9)))/12</f>
        <v>54055.796124672</v>
      </c>
      <c r="K24" s="71" t="n">
        <f aca="false">RentRoll!$H$9*RentRoll!$P$9*(1+IF(RentRoll!$I$9="",RentGrowth+$B$20,RentRoll!$I$9))^(K$4-1)*(MAX(0,MIN(12*K$4,IF(RentRoll!$K$9="",99999,RentRoll!$K$9))-MAX(12*(K$4-1),RentRoll!$R$9))+RentRoll!$L$9*MAX(0,12*K$4-MAX(12*(K$4-1),IF(RentRoll!$K$9="",99999,RentRoll!$K$9),RentRoll!$R$9)))/12</f>
        <v>55136.9120471654</v>
      </c>
      <c r="L24" s="71" t="n">
        <f aca="false">RentRoll!$H$9*RentRoll!$P$9*(1+IF(RentRoll!$I$9="",RentGrowth+$B$20,RentRoll!$I$9))^(L$4-1)*(MAX(0,MIN(12*L$4,IF(RentRoll!$K$9="",99999,RentRoll!$K$9))-MAX(12*(L$4-1),RentRoll!$R$9))+RentRoll!$L$9*MAX(0,12*L$4-MAX(12*(L$4-1),IF(RentRoll!$K$9="",99999,RentRoll!$K$9),RentRoll!$R$9)))/12</f>
        <v>56239.6502881088</v>
      </c>
      <c r="M24" s="71" t="n">
        <f aca="false">RentRoll!$H$9*RentRoll!$P$9*(1+IF(RentRoll!$I$9="",RentGrowth+$B$20,RentRoll!$I$9))^(M$4-1)*(MAX(0,MIN(12*M$4,IF(RentRoll!$K$9="",99999,RentRoll!$K$9))-MAX(12*(M$4-1),RentRoll!$R$9))+RentRoll!$L$9*MAX(0,12*M$4-MAX(12*(M$4-1),IF(RentRoll!$K$9="",99999,RentRoll!$K$9),RentRoll!$R$9)))/12</f>
        <v>57364.4432938709</v>
      </c>
      <c r="N24" s="71" t="n">
        <f aca="false">RentRoll!$H$9*RentRoll!$P$9*(1+IF(RentRoll!$I$9="",RentGrowth+$B$20,RentRoll!$I$9))^(N$4-1)*(MAX(0,MIN(12*N$4,IF(RentRoll!$K$9="",99999,RentRoll!$K$9))-MAX(12*(N$4-1),RentRoll!$R$9))+RentRoll!$L$9*MAX(0,12*N$4-MAX(12*(N$4-1),IF(RentRoll!$K$9="",99999,RentRoll!$K$9),RentRoll!$R$9)))/12</f>
        <v>58511.7321597484</v>
      </c>
    </row>
    <row r="25" customFormat="false" ht="15" hidden="false" customHeight="false" outlineLevel="0" collapsed="false">
      <c r="A25" s="91" t="str">
        <f aca="false">RentRoll!B10</f>
        <v>Individual tenants (various)</v>
      </c>
      <c r="D25" s="71" t="n">
        <f aca="false">RentRoll!$H$10*RentRoll!$P$10*(1+IF(RentRoll!$I$10="",RentGrowth+$B$20,RentRoll!$I$10))^(D$4-1)*(MAX(0,MIN(12*D$4,IF(RentRoll!$K$10="",99999,RentRoll!$K$10))-MAX(12*(D$4-1),RentRoll!$R$10))+RentRoll!$L$10*MAX(0,12*D$4-MAX(12*(D$4-1),IF(RentRoll!$K$10="",99999,RentRoll!$K$10),RentRoll!$R$10)))/12</f>
        <v>25200</v>
      </c>
      <c r="E25" s="71" t="n">
        <f aca="false">RentRoll!$H$10*RentRoll!$P$10*(1+IF(RentRoll!$I$10="",RentGrowth+$B$20,RentRoll!$I$10))^(E$4-1)*(MAX(0,MIN(12*E$4,IF(RentRoll!$K$10="",99999,RentRoll!$K$10))-MAX(12*(E$4-1),RentRoll!$R$10))+RentRoll!$L$10*MAX(0,12*E$4-MAX(12*(E$4-1),IF(RentRoll!$K$10="",99999,RentRoll!$K$10),RentRoll!$R$10)))/12</f>
        <v>25704</v>
      </c>
      <c r="F25" s="71" t="n">
        <f aca="false">RentRoll!$H$10*RentRoll!$P$10*(1+IF(RentRoll!$I$10="",RentGrowth+$B$20,RentRoll!$I$10))^(F$4-1)*(MAX(0,MIN(12*F$4,IF(RentRoll!$K$10="",99999,RentRoll!$K$10))-MAX(12*(F$4-1),RentRoll!$R$10))+RentRoll!$L$10*MAX(0,12*F$4-MAX(12*(F$4-1),IF(RentRoll!$K$10="",99999,RentRoll!$K$10),RentRoll!$R$10)))/12</f>
        <v>26218.08</v>
      </c>
      <c r="G25" s="71" t="n">
        <f aca="false">RentRoll!$H$10*RentRoll!$P$10*(1+IF(RentRoll!$I$10="",RentGrowth+$B$20,RentRoll!$I$10))^(G$4-1)*(MAX(0,MIN(12*G$4,IF(RentRoll!$K$10="",99999,RentRoll!$K$10))-MAX(12*(G$4-1),RentRoll!$R$10))+RentRoll!$L$10*MAX(0,12*G$4-MAX(12*(G$4-1),IF(RentRoll!$K$10="",99999,RentRoll!$K$10),RentRoll!$R$10)))/12</f>
        <v>26742.4416</v>
      </c>
      <c r="H25" s="71" t="n">
        <f aca="false">RentRoll!$H$10*RentRoll!$P$10*(1+IF(RentRoll!$I$10="",RentGrowth+$B$20,RentRoll!$I$10))^(H$4-1)*(MAX(0,MIN(12*H$4,IF(RentRoll!$K$10="",99999,RentRoll!$K$10))-MAX(12*(H$4-1),RentRoll!$R$10))+RentRoll!$L$10*MAX(0,12*H$4-MAX(12*(H$4-1),IF(RentRoll!$K$10="",99999,RentRoll!$K$10),RentRoll!$R$10)))/12</f>
        <v>27277.290432</v>
      </c>
      <c r="I25" s="71" t="n">
        <f aca="false">RentRoll!$H$10*RentRoll!$P$10*(1+IF(RentRoll!$I$10="",RentGrowth+$B$20,RentRoll!$I$10))^(I$4-1)*(MAX(0,MIN(12*I$4,IF(RentRoll!$K$10="",99999,RentRoll!$K$10))-MAX(12*(I$4-1),RentRoll!$R$10))+RentRoll!$L$10*MAX(0,12*I$4-MAX(12*(I$4-1),IF(RentRoll!$K$10="",99999,RentRoll!$K$10),RentRoll!$R$10)))/12</f>
        <v>27822.83624064</v>
      </c>
      <c r="J25" s="71" t="n">
        <f aca="false">RentRoll!$H$10*RentRoll!$P$10*(1+IF(RentRoll!$I$10="",RentGrowth+$B$20,RentRoll!$I$10))^(J$4-1)*(MAX(0,MIN(12*J$4,IF(RentRoll!$K$10="",99999,RentRoll!$K$10))-MAX(12*(J$4-1),RentRoll!$R$10))+RentRoll!$L$10*MAX(0,12*J$4-MAX(12*(J$4-1),IF(RentRoll!$K$10="",99999,RentRoll!$K$10),RentRoll!$R$10)))/12</f>
        <v>28379.2929654528</v>
      </c>
      <c r="K25" s="71" t="n">
        <f aca="false">RentRoll!$H$10*RentRoll!$P$10*(1+IF(RentRoll!$I$10="",RentGrowth+$B$20,RentRoll!$I$10))^(K$4-1)*(MAX(0,MIN(12*K$4,IF(RentRoll!$K$10="",99999,RentRoll!$K$10))-MAX(12*(K$4-1),RentRoll!$R$10))+RentRoll!$L$10*MAX(0,12*K$4-MAX(12*(K$4-1),IF(RentRoll!$K$10="",99999,RentRoll!$K$10),RentRoll!$R$10)))/12</f>
        <v>28946.8788247619</v>
      </c>
      <c r="L25" s="71" t="n">
        <f aca="false">RentRoll!$H$10*RentRoll!$P$10*(1+IF(RentRoll!$I$10="",RentGrowth+$B$20,RentRoll!$I$10))^(L$4-1)*(MAX(0,MIN(12*L$4,IF(RentRoll!$K$10="",99999,RentRoll!$K$10))-MAX(12*(L$4-1),RentRoll!$R$10))+RentRoll!$L$10*MAX(0,12*L$4-MAX(12*(L$4-1),IF(RentRoll!$K$10="",99999,RentRoll!$K$10),RentRoll!$R$10)))/12</f>
        <v>29525.8164012571</v>
      </c>
      <c r="M25" s="71" t="n">
        <f aca="false">RentRoll!$H$10*RentRoll!$P$10*(1+IF(RentRoll!$I$10="",RentGrowth+$B$20,RentRoll!$I$10))^(M$4-1)*(MAX(0,MIN(12*M$4,IF(RentRoll!$K$10="",99999,RentRoll!$K$10))-MAX(12*(M$4-1),RentRoll!$R$10))+RentRoll!$L$10*MAX(0,12*M$4-MAX(12*(M$4-1),IF(RentRoll!$K$10="",99999,RentRoll!$K$10),RentRoll!$R$10)))/12</f>
        <v>30116.3327292822</v>
      </c>
      <c r="N25" s="71" t="n">
        <f aca="false">RentRoll!$H$10*RentRoll!$P$10*(1+IF(RentRoll!$I$10="",RentGrowth+$B$20,RentRoll!$I$10))^(N$4-1)*(MAX(0,MIN(12*N$4,IF(RentRoll!$K$10="",99999,RentRoll!$K$10))-MAX(12*(N$4-1),RentRoll!$R$10))+RentRoll!$L$10*MAX(0,12*N$4-MAX(12*(N$4-1),IF(RentRoll!$K$10="",99999,RentRoll!$K$10),RentRoll!$R$10)))/12</f>
        <v>30718.6593838679</v>
      </c>
    </row>
    <row r="26" customFormat="false" ht="15" hidden="false" customHeight="false" outlineLevel="0" collapsed="false">
      <c r="A26" s="91" t="str">
        <f aca="false">RentRoll!B11</f>
        <v>CDL driver training</v>
      </c>
      <c r="D26" s="71" t="n">
        <f aca="false">RentRoll!$H$11*RentRoll!$P$11*(1+IF(RentRoll!$I$11="",RentGrowth+$B$20,RentRoll!$I$11))^(D$4-1)*(MAX(0,MIN(12*D$4,IF(RentRoll!$K$11="",99999,RentRoll!$K$11))-MAX(12*(D$4-1),RentRoll!$R$11))+RentRoll!$L$11*MAX(0,12*D$4-MAX(12*(D$4-1),IF(RentRoll!$K$11="",99999,RentRoll!$K$11),RentRoll!$R$11)))/12</f>
        <v>18000</v>
      </c>
      <c r="E26" s="71" t="n">
        <f aca="false">RentRoll!$H$11*RentRoll!$P$11*(1+IF(RentRoll!$I$11="",RentGrowth+$B$20,RentRoll!$I$11))^(E$4-1)*(MAX(0,MIN(12*E$4,IF(RentRoll!$K$11="",99999,RentRoll!$K$11))-MAX(12*(E$4-1),RentRoll!$R$11))+RentRoll!$L$11*MAX(0,12*E$4-MAX(12*(E$4-1),IF(RentRoll!$K$11="",99999,RentRoll!$K$11),RentRoll!$R$11)))/12</f>
        <v>18360</v>
      </c>
      <c r="F26" s="71" t="n">
        <f aca="false">RentRoll!$H$11*RentRoll!$P$11*(1+IF(RentRoll!$I$11="",RentGrowth+$B$20,RentRoll!$I$11))^(F$4-1)*(MAX(0,MIN(12*F$4,IF(RentRoll!$K$11="",99999,RentRoll!$K$11))-MAX(12*(F$4-1),RentRoll!$R$11))+RentRoll!$L$11*MAX(0,12*F$4-MAX(12*(F$4-1),IF(RentRoll!$K$11="",99999,RentRoll!$K$11),RentRoll!$R$11)))/12</f>
        <v>18727.2</v>
      </c>
      <c r="G26" s="71" t="n">
        <f aca="false">RentRoll!$H$11*RentRoll!$P$11*(1+IF(RentRoll!$I$11="",RentGrowth+$B$20,RentRoll!$I$11))^(G$4-1)*(MAX(0,MIN(12*G$4,IF(RentRoll!$K$11="",99999,RentRoll!$K$11))-MAX(12*(G$4-1),RentRoll!$R$11))+RentRoll!$L$11*MAX(0,12*G$4-MAX(12*(G$4-1),IF(RentRoll!$K$11="",99999,RentRoll!$K$11),RentRoll!$R$11)))/12</f>
        <v>19101.744</v>
      </c>
      <c r="H26" s="71" t="n">
        <f aca="false">RentRoll!$H$11*RentRoll!$P$11*(1+IF(RentRoll!$I$11="",RentGrowth+$B$20,RentRoll!$I$11))^(H$4-1)*(MAX(0,MIN(12*H$4,IF(RentRoll!$K$11="",99999,RentRoll!$K$11))-MAX(12*(H$4-1),RentRoll!$R$11))+RentRoll!$L$11*MAX(0,12*H$4-MAX(12*(H$4-1),IF(RentRoll!$K$11="",99999,RentRoll!$K$11),RentRoll!$R$11)))/12</f>
        <v>19483.77888</v>
      </c>
      <c r="I26" s="71" t="n">
        <f aca="false">RentRoll!$H$11*RentRoll!$P$11*(1+IF(RentRoll!$I$11="",RentGrowth+$B$20,RentRoll!$I$11))^(I$4-1)*(MAX(0,MIN(12*I$4,IF(RentRoll!$K$11="",99999,RentRoll!$K$11))-MAX(12*(I$4-1),RentRoll!$R$11))+RentRoll!$L$11*MAX(0,12*I$4-MAX(12*(I$4-1),IF(RentRoll!$K$11="",99999,RentRoll!$K$11),RentRoll!$R$11)))/12</f>
        <v>19873.4544576</v>
      </c>
      <c r="J26" s="71" t="n">
        <f aca="false">RentRoll!$H$11*RentRoll!$P$11*(1+IF(RentRoll!$I$11="",RentGrowth+$B$20,RentRoll!$I$11))^(J$4-1)*(MAX(0,MIN(12*J$4,IF(RentRoll!$K$11="",99999,RentRoll!$K$11))-MAX(12*(J$4-1),RentRoll!$R$11))+RentRoll!$L$11*MAX(0,12*J$4-MAX(12*(J$4-1),IF(RentRoll!$K$11="",99999,RentRoll!$K$11),RentRoll!$R$11)))/12</f>
        <v>20270.923546752</v>
      </c>
      <c r="K26" s="71" t="n">
        <f aca="false">RentRoll!$H$11*RentRoll!$P$11*(1+IF(RentRoll!$I$11="",RentGrowth+$B$20,RentRoll!$I$11))^(K$4-1)*(MAX(0,MIN(12*K$4,IF(RentRoll!$K$11="",99999,RentRoll!$K$11))-MAX(12*(K$4-1),RentRoll!$R$11))+RentRoll!$L$11*MAX(0,12*K$4-MAX(12*(K$4-1),IF(RentRoll!$K$11="",99999,RentRoll!$K$11),RentRoll!$R$11)))/12</f>
        <v>20676.342017687</v>
      </c>
      <c r="L26" s="71" t="n">
        <f aca="false">RentRoll!$H$11*RentRoll!$P$11*(1+IF(RentRoll!$I$11="",RentGrowth+$B$20,RentRoll!$I$11))^(L$4-1)*(MAX(0,MIN(12*L$4,IF(RentRoll!$K$11="",99999,RentRoll!$K$11))-MAX(12*(L$4-1),RentRoll!$R$11))+RentRoll!$L$11*MAX(0,12*L$4-MAX(12*(L$4-1),IF(RentRoll!$K$11="",99999,RentRoll!$K$11),RentRoll!$R$11)))/12</f>
        <v>21089.8688580408</v>
      </c>
      <c r="M26" s="71" t="n">
        <f aca="false">RentRoll!$H$11*RentRoll!$P$11*(1+IF(RentRoll!$I$11="",RentGrowth+$B$20,RentRoll!$I$11))^(M$4-1)*(MAX(0,MIN(12*M$4,IF(RentRoll!$K$11="",99999,RentRoll!$K$11))-MAX(12*(M$4-1),RentRoll!$R$11))+RentRoll!$L$11*MAX(0,12*M$4-MAX(12*(M$4-1),IF(RentRoll!$K$11="",99999,RentRoll!$K$11),RentRoll!$R$11)))/12</f>
        <v>21511.6662352016</v>
      </c>
      <c r="N26" s="71" t="n">
        <f aca="false">RentRoll!$H$11*RentRoll!$P$11*(1+IF(RentRoll!$I$11="",RentGrowth+$B$20,RentRoll!$I$11))^(N$4-1)*(MAX(0,MIN(12*N$4,IF(RentRoll!$K$11="",99999,RentRoll!$K$11))-MAX(12*(N$4-1),RentRoll!$R$11))+RentRoll!$L$11*MAX(0,12*N$4-MAX(12*(N$4-1),IF(RentRoll!$K$11="",99999,RentRoll!$K$11),RentRoll!$R$11)))/12</f>
        <v>21941.8995599056</v>
      </c>
    </row>
    <row r="27" customFormat="false" ht="15" hidden="false" customHeight="false" outlineLevel="0" collapsed="false">
      <c r="A27" s="91" t="str">
        <f aca="false">RentRoll!B12</f>
        <v>Alamo Fireworks</v>
      </c>
      <c r="D27" s="71" t="n">
        <f aca="false">RentRoll!$H$12*RentRoll!$P$12*(1+IF(RentRoll!$I$12="",RentGrowth+$B$20,RentRoll!$I$12))^(D$4-1)*(MAX(0,MIN(12*D$4,IF(RentRoll!$K$12="",99999,RentRoll!$K$12))-MAX(12*(D$4-1),RentRoll!$R$12))+RentRoll!$L$12*MAX(0,12*D$4-MAX(12*(D$4-1),IF(RentRoll!$K$12="",99999,RentRoll!$K$12),RentRoll!$R$12)))/12</f>
        <v>8000</v>
      </c>
      <c r="E27" s="71" t="n">
        <f aca="false">RentRoll!$H$12*RentRoll!$P$12*(1+IF(RentRoll!$I$12="",RentGrowth+$B$20,RentRoll!$I$12))^(E$4-1)*(MAX(0,MIN(12*E$4,IF(RentRoll!$K$12="",99999,RentRoll!$K$12))-MAX(12*(E$4-1),RentRoll!$R$12))+RentRoll!$L$12*MAX(0,12*E$4-MAX(12*(E$4-1),IF(RentRoll!$K$12="",99999,RentRoll!$K$12),RentRoll!$R$12)))/12</f>
        <v>8160</v>
      </c>
      <c r="F27" s="71" t="n">
        <f aca="false">RentRoll!$H$12*RentRoll!$P$12*(1+IF(RentRoll!$I$12="",RentGrowth+$B$20,RentRoll!$I$12))^(F$4-1)*(MAX(0,MIN(12*F$4,IF(RentRoll!$K$12="",99999,RentRoll!$K$12))-MAX(12*(F$4-1),RentRoll!$R$12))+RentRoll!$L$12*MAX(0,12*F$4-MAX(12*(F$4-1),IF(RentRoll!$K$12="",99999,RentRoll!$K$12),RentRoll!$R$12)))/12</f>
        <v>8323.2</v>
      </c>
      <c r="G27" s="71" t="n">
        <f aca="false">RentRoll!$H$12*RentRoll!$P$12*(1+IF(RentRoll!$I$12="",RentGrowth+$B$20,RentRoll!$I$12))^(G$4-1)*(MAX(0,MIN(12*G$4,IF(RentRoll!$K$12="",99999,RentRoll!$K$12))-MAX(12*(G$4-1),RentRoll!$R$12))+RentRoll!$L$12*MAX(0,12*G$4-MAX(12*(G$4-1),IF(RentRoll!$K$12="",99999,RentRoll!$K$12),RentRoll!$R$12)))/12</f>
        <v>8489.664</v>
      </c>
      <c r="H27" s="71" t="n">
        <f aca="false">RentRoll!$H$12*RentRoll!$P$12*(1+IF(RentRoll!$I$12="",RentGrowth+$B$20,RentRoll!$I$12))^(H$4-1)*(MAX(0,MIN(12*H$4,IF(RentRoll!$K$12="",99999,RentRoll!$K$12))-MAX(12*(H$4-1),RentRoll!$R$12))+RentRoll!$L$12*MAX(0,12*H$4-MAX(12*(H$4-1),IF(RentRoll!$K$12="",99999,RentRoll!$K$12),RentRoll!$R$12)))/12</f>
        <v>8659.45728</v>
      </c>
      <c r="I27" s="71" t="n">
        <f aca="false">RentRoll!$H$12*RentRoll!$P$12*(1+IF(RentRoll!$I$12="",RentGrowth+$B$20,RentRoll!$I$12))^(I$4-1)*(MAX(0,MIN(12*I$4,IF(RentRoll!$K$12="",99999,RentRoll!$K$12))-MAX(12*(I$4-1),RentRoll!$R$12))+RentRoll!$L$12*MAX(0,12*I$4-MAX(12*(I$4-1),IF(RentRoll!$K$12="",99999,RentRoll!$K$12),RentRoll!$R$12)))/12</f>
        <v>8832.6464256</v>
      </c>
      <c r="J27" s="71" t="n">
        <f aca="false">RentRoll!$H$12*RentRoll!$P$12*(1+IF(RentRoll!$I$12="",RentGrowth+$B$20,RentRoll!$I$12))^(J$4-1)*(MAX(0,MIN(12*J$4,IF(RentRoll!$K$12="",99999,RentRoll!$K$12))-MAX(12*(J$4-1),RentRoll!$R$12))+RentRoll!$L$12*MAX(0,12*J$4-MAX(12*(J$4-1),IF(RentRoll!$K$12="",99999,RentRoll!$K$12),RentRoll!$R$12)))/12</f>
        <v>9009.299354112</v>
      </c>
      <c r="K27" s="71" t="n">
        <f aca="false">RentRoll!$H$12*RentRoll!$P$12*(1+IF(RentRoll!$I$12="",RentGrowth+$B$20,RentRoll!$I$12))^(K$4-1)*(MAX(0,MIN(12*K$4,IF(RentRoll!$K$12="",99999,RentRoll!$K$12))-MAX(12*(K$4-1),RentRoll!$R$12))+RentRoll!$L$12*MAX(0,12*K$4-MAX(12*(K$4-1),IF(RentRoll!$K$12="",99999,RentRoll!$K$12),RentRoll!$R$12)))/12</f>
        <v>9189.48534119424</v>
      </c>
      <c r="L27" s="71" t="n">
        <f aca="false">RentRoll!$H$12*RentRoll!$P$12*(1+IF(RentRoll!$I$12="",RentGrowth+$B$20,RentRoll!$I$12))^(L$4-1)*(MAX(0,MIN(12*L$4,IF(RentRoll!$K$12="",99999,RentRoll!$K$12))-MAX(12*(L$4-1),RentRoll!$R$12))+RentRoll!$L$12*MAX(0,12*L$4-MAX(12*(L$4-1),IF(RentRoll!$K$12="",99999,RentRoll!$K$12),RentRoll!$R$12)))/12</f>
        <v>9373.27504801813</v>
      </c>
      <c r="M27" s="71" t="n">
        <f aca="false">RentRoll!$H$12*RentRoll!$P$12*(1+IF(RentRoll!$I$12="",RentGrowth+$B$20,RentRoll!$I$12))^(M$4-1)*(MAX(0,MIN(12*M$4,IF(RentRoll!$K$12="",99999,RentRoll!$K$12))-MAX(12*(M$4-1),RentRoll!$R$12))+RentRoll!$L$12*MAX(0,12*M$4-MAX(12*(M$4-1),IF(RentRoll!$K$12="",99999,RentRoll!$K$12),RentRoll!$R$12)))/12</f>
        <v>9560.74054897849</v>
      </c>
      <c r="N27" s="71" t="n">
        <f aca="false">RentRoll!$H$12*RentRoll!$P$12*(1+IF(RentRoll!$I$12="",RentGrowth+$B$20,RentRoll!$I$12))^(N$4-1)*(MAX(0,MIN(12*N$4,IF(RentRoll!$K$12="",99999,RentRoll!$K$12))-MAX(12*(N$4-1),RentRoll!$R$12))+RentRoll!$L$12*MAX(0,12*N$4-MAX(12*(N$4-1),IF(RentRoll!$K$12="",99999,RentRoll!$K$12),RentRoll!$R$12)))/12</f>
        <v>9751.95535995806</v>
      </c>
    </row>
    <row r="28" customFormat="false" ht="15" hidden="false" customHeight="false" outlineLevel="0" collapsed="false">
      <c r="A28" s="91" t="str">
        <f aca="false">RentRoll!B13</f>
        <v>Prime expansion (+1 ac)</v>
      </c>
      <c r="D28" s="71" t="n">
        <f aca="false">RentRoll!$H$13*RentRoll!$P$13*(1+IF(RentRoll!$I$13="",RentGrowth+$B$20,RentRoll!$I$13))^(D$4-1)*(MAX(0,MIN(12*D$4,IF(RentRoll!$K$13="",99999,RentRoll!$K$13))-MAX(12*(D$4-1),RentRoll!$R$13))+RentRoll!$L$13*MAX(0,12*D$4-MAX(12*(D$4-1),IF(RentRoll!$K$13="",99999,RentRoll!$K$13),RentRoll!$R$13)))/12</f>
        <v>31500</v>
      </c>
      <c r="E28" s="71" t="n">
        <f aca="false">RentRoll!$H$13*RentRoll!$P$13*(1+IF(RentRoll!$I$13="",RentGrowth+$B$20,RentRoll!$I$13))^(E$4-1)*(MAX(0,MIN(12*E$4,IF(RentRoll!$K$13="",99999,RentRoll!$K$13))-MAX(12*(E$4-1),RentRoll!$R$13))+RentRoll!$L$13*MAX(0,12*E$4-MAX(12*(E$4-1),IF(RentRoll!$K$13="",99999,RentRoll!$K$13),RentRoll!$R$13)))/12</f>
        <v>42840</v>
      </c>
      <c r="F28" s="71" t="n">
        <f aca="false">RentRoll!$H$13*RentRoll!$P$13*(1+IF(RentRoll!$I$13="",RentGrowth+$B$20,RentRoll!$I$13))^(F$4-1)*(MAX(0,MIN(12*F$4,IF(RentRoll!$K$13="",99999,RentRoll!$K$13))-MAX(12*(F$4-1),RentRoll!$R$13))+RentRoll!$L$13*MAX(0,12*F$4-MAX(12*(F$4-1),IF(RentRoll!$K$13="",99999,RentRoll!$K$13),RentRoll!$R$13)))/12</f>
        <v>43696.8</v>
      </c>
      <c r="G28" s="71" t="n">
        <f aca="false">RentRoll!$H$13*RentRoll!$P$13*(1+IF(RentRoll!$I$13="",RentGrowth+$B$20,RentRoll!$I$13))^(G$4-1)*(MAX(0,MIN(12*G$4,IF(RentRoll!$K$13="",99999,RentRoll!$K$13))-MAX(12*(G$4-1),RentRoll!$R$13))+RentRoll!$L$13*MAX(0,12*G$4-MAX(12*(G$4-1),IF(RentRoll!$K$13="",99999,RentRoll!$K$13),RentRoll!$R$13)))/12</f>
        <v>44570.736</v>
      </c>
      <c r="H28" s="71" t="n">
        <f aca="false">RentRoll!$H$13*RentRoll!$P$13*(1+IF(RentRoll!$I$13="",RentGrowth+$B$20,RentRoll!$I$13))^(H$4-1)*(MAX(0,MIN(12*H$4,IF(RentRoll!$K$13="",99999,RentRoll!$K$13))-MAX(12*(H$4-1),RentRoll!$R$13))+RentRoll!$L$13*MAX(0,12*H$4-MAX(12*(H$4-1),IF(RentRoll!$K$13="",99999,RentRoll!$K$13),RentRoll!$R$13)))/12</f>
        <v>45462.15072</v>
      </c>
      <c r="I28" s="71" t="n">
        <f aca="false">RentRoll!$H$13*RentRoll!$P$13*(1+IF(RentRoll!$I$13="",RentGrowth+$B$20,RentRoll!$I$13))^(I$4-1)*(MAX(0,MIN(12*I$4,IF(RentRoll!$K$13="",99999,RentRoll!$K$13))-MAX(12*(I$4-1),RentRoll!$R$13))+RentRoll!$L$13*MAX(0,12*I$4-MAX(12*(I$4-1),IF(RentRoll!$K$13="",99999,RentRoll!$K$13),RentRoll!$R$13)))/12</f>
        <v>46371.3937344</v>
      </c>
      <c r="J28" s="71" t="n">
        <f aca="false">RentRoll!$H$13*RentRoll!$P$13*(1+IF(RentRoll!$I$13="",RentGrowth+$B$20,RentRoll!$I$13))^(J$4-1)*(MAX(0,MIN(12*J$4,IF(RentRoll!$K$13="",99999,RentRoll!$K$13))-MAX(12*(J$4-1),RentRoll!$R$13))+RentRoll!$L$13*MAX(0,12*J$4-MAX(12*(J$4-1),IF(RentRoll!$K$13="",99999,RentRoll!$K$13),RentRoll!$R$13)))/12</f>
        <v>47298.821609088</v>
      </c>
      <c r="K28" s="71" t="n">
        <f aca="false">RentRoll!$H$13*RentRoll!$P$13*(1+IF(RentRoll!$I$13="",RentGrowth+$B$20,RentRoll!$I$13))^(K$4-1)*(MAX(0,MIN(12*K$4,IF(RentRoll!$K$13="",99999,RentRoll!$K$13))-MAX(12*(K$4-1),RentRoll!$R$13))+RentRoll!$L$13*MAX(0,12*K$4-MAX(12*(K$4-1),IF(RentRoll!$K$13="",99999,RentRoll!$K$13),RentRoll!$R$13)))/12</f>
        <v>48244.7980412698</v>
      </c>
      <c r="L28" s="71" t="n">
        <f aca="false">RentRoll!$H$13*RentRoll!$P$13*(1+IF(RentRoll!$I$13="",RentGrowth+$B$20,RentRoll!$I$13))^(L$4-1)*(MAX(0,MIN(12*L$4,IF(RentRoll!$K$13="",99999,RentRoll!$K$13))-MAX(12*(L$4-1),RentRoll!$R$13))+RentRoll!$L$13*MAX(0,12*L$4-MAX(12*(L$4-1),IF(RentRoll!$K$13="",99999,RentRoll!$K$13),RentRoll!$R$13)))/12</f>
        <v>49209.6940020952</v>
      </c>
      <c r="M28" s="71" t="n">
        <f aca="false">RentRoll!$H$13*RentRoll!$P$13*(1+IF(RentRoll!$I$13="",RentGrowth+$B$20,RentRoll!$I$13))^(M$4-1)*(MAX(0,MIN(12*M$4,IF(RentRoll!$K$13="",99999,RentRoll!$K$13))-MAX(12*(M$4-1),RentRoll!$R$13))+RentRoll!$L$13*MAX(0,12*M$4-MAX(12*(M$4-1),IF(RentRoll!$K$13="",99999,RentRoll!$K$13),RentRoll!$R$13)))/12</f>
        <v>50193.8878821371</v>
      </c>
      <c r="N28" s="71" t="n">
        <f aca="false">RentRoll!$H$13*RentRoll!$P$13*(1+IF(RentRoll!$I$13="",RentGrowth+$B$20,RentRoll!$I$13))^(N$4-1)*(MAX(0,MIN(12*N$4,IF(RentRoll!$K$13="",99999,RentRoll!$K$13))-MAX(12*(N$4-1),RentRoll!$R$13))+RentRoll!$L$13*MAX(0,12*N$4-MAX(12*(N$4-1),IF(RentRoll!$K$13="",99999,RentRoll!$K$13),RentRoll!$R$13)))/12</f>
        <v>51197.7656397798</v>
      </c>
    </row>
    <row r="29" customFormat="false" ht="15" hidden="false" customHeight="false" outlineLevel="0" collapsed="false">
      <c r="A29" s="91" t="str">
        <f aca="false">RentRoll!B14</f>
        <v>Straight 6 expansion (~10 spots)</v>
      </c>
      <c r="D29" s="71" t="n">
        <f aca="false">RentRoll!$H$14*RentRoll!$P$14*(1+IF(RentRoll!$I$14="",RentGrowth+$B$20,RentRoll!$I$14))^(D$4-1)*(MAX(0,MIN(12*D$4,IF(RentRoll!$K$14="",99999,RentRoll!$K$14))-MAX(12*(D$4-1),RentRoll!$R$14))+RentRoll!$L$14*MAX(0,12*D$4-MAX(12*(D$4-1),IF(RentRoll!$K$14="",99999,RentRoll!$K$14),RentRoll!$R$14)))/12</f>
        <v>9000</v>
      </c>
      <c r="E29" s="71" t="n">
        <f aca="false">RentRoll!$H$14*RentRoll!$P$14*(1+IF(RentRoll!$I$14="",RentGrowth+$B$20,RentRoll!$I$14))^(E$4-1)*(MAX(0,MIN(12*E$4,IF(RentRoll!$K$14="",99999,RentRoll!$K$14))-MAX(12*(E$4-1),RentRoll!$R$14))+RentRoll!$L$14*MAX(0,12*E$4-MAX(12*(E$4-1),IF(RentRoll!$K$14="",99999,RentRoll!$K$14),RentRoll!$R$14)))/12</f>
        <v>12240</v>
      </c>
      <c r="F29" s="71" t="n">
        <f aca="false">RentRoll!$H$14*RentRoll!$P$14*(1+IF(RentRoll!$I$14="",RentGrowth+$B$20,RentRoll!$I$14))^(F$4-1)*(MAX(0,MIN(12*F$4,IF(RentRoll!$K$14="",99999,RentRoll!$K$14))-MAX(12*(F$4-1),RentRoll!$R$14))+RentRoll!$L$14*MAX(0,12*F$4-MAX(12*(F$4-1),IF(RentRoll!$K$14="",99999,RentRoll!$K$14),RentRoll!$R$14)))/12</f>
        <v>12484.8</v>
      </c>
      <c r="G29" s="71" t="n">
        <f aca="false">RentRoll!$H$14*RentRoll!$P$14*(1+IF(RentRoll!$I$14="",RentGrowth+$B$20,RentRoll!$I$14))^(G$4-1)*(MAX(0,MIN(12*G$4,IF(RentRoll!$K$14="",99999,RentRoll!$K$14))-MAX(12*(G$4-1),RentRoll!$R$14))+RentRoll!$L$14*MAX(0,12*G$4-MAX(12*(G$4-1),IF(RentRoll!$K$14="",99999,RentRoll!$K$14),RentRoll!$R$14)))/12</f>
        <v>12734.496</v>
      </c>
      <c r="H29" s="71" t="n">
        <f aca="false">RentRoll!$H$14*RentRoll!$P$14*(1+IF(RentRoll!$I$14="",RentGrowth+$B$20,RentRoll!$I$14))^(H$4-1)*(MAX(0,MIN(12*H$4,IF(RentRoll!$K$14="",99999,RentRoll!$K$14))-MAX(12*(H$4-1),RentRoll!$R$14))+RentRoll!$L$14*MAX(0,12*H$4-MAX(12*(H$4-1),IF(RentRoll!$K$14="",99999,RentRoll!$K$14),RentRoll!$R$14)))/12</f>
        <v>12989.18592</v>
      </c>
      <c r="I29" s="71" t="n">
        <f aca="false">RentRoll!$H$14*RentRoll!$P$14*(1+IF(RentRoll!$I$14="",RentGrowth+$B$20,RentRoll!$I$14))^(I$4-1)*(MAX(0,MIN(12*I$4,IF(RentRoll!$K$14="",99999,RentRoll!$K$14))-MAX(12*(I$4-1),RentRoll!$R$14))+RentRoll!$L$14*MAX(0,12*I$4-MAX(12*(I$4-1),IF(RentRoll!$K$14="",99999,RentRoll!$K$14),RentRoll!$R$14)))/12</f>
        <v>13248.9696384</v>
      </c>
      <c r="J29" s="71" t="n">
        <f aca="false">RentRoll!$H$14*RentRoll!$P$14*(1+IF(RentRoll!$I$14="",RentGrowth+$B$20,RentRoll!$I$14))^(J$4-1)*(MAX(0,MIN(12*J$4,IF(RentRoll!$K$14="",99999,RentRoll!$K$14))-MAX(12*(J$4-1),RentRoll!$R$14))+RentRoll!$L$14*MAX(0,12*J$4-MAX(12*(J$4-1),IF(RentRoll!$K$14="",99999,RentRoll!$K$14),RentRoll!$R$14)))/12</f>
        <v>13513.949031168</v>
      </c>
      <c r="K29" s="71" t="n">
        <f aca="false">RentRoll!$H$14*RentRoll!$P$14*(1+IF(RentRoll!$I$14="",RentGrowth+$B$20,RentRoll!$I$14))^(K$4-1)*(MAX(0,MIN(12*K$4,IF(RentRoll!$K$14="",99999,RentRoll!$K$14))-MAX(12*(K$4-1),RentRoll!$R$14))+RentRoll!$L$14*MAX(0,12*K$4-MAX(12*(K$4-1),IF(RentRoll!$K$14="",99999,RentRoll!$K$14),RentRoll!$R$14)))/12</f>
        <v>13784.2280117914</v>
      </c>
      <c r="L29" s="71" t="n">
        <f aca="false">RentRoll!$H$14*RentRoll!$P$14*(1+IF(RentRoll!$I$14="",RentGrowth+$B$20,RentRoll!$I$14))^(L$4-1)*(MAX(0,MIN(12*L$4,IF(RentRoll!$K$14="",99999,RentRoll!$K$14))-MAX(12*(L$4-1),RentRoll!$R$14))+RentRoll!$L$14*MAX(0,12*L$4-MAX(12*(L$4-1),IF(RentRoll!$K$14="",99999,RentRoll!$K$14),RentRoll!$R$14)))/12</f>
        <v>14059.9125720272</v>
      </c>
      <c r="M29" s="71" t="n">
        <f aca="false">RentRoll!$H$14*RentRoll!$P$14*(1+IF(RentRoll!$I$14="",RentGrowth+$B$20,RentRoll!$I$14))^(M$4-1)*(MAX(0,MIN(12*M$4,IF(RentRoll!$K$14="",99999,RentRoll!$K$14))-MAX(12*(M$4-1),RentRoll!$R$14))+RentRoll!$L$14*MAX(0,12*M$4-MAX(12*(M$4-1),IF(RentRoll!$K$14="",99999,RentRoll!$K$14),RentRoll!$R$14)))/12</f>
        <v>14341.1108234677</v>
      </c>
      <c r="N29" s="71" t="n">
        <f aca="false">RentRoll!$H$14*RentRoll!$P$14*(1+IF(RentRoll!$I$14="",RentGrowth+$B$20,RentRoll!$I$14))^(N$4-1)*(MAX(0,MIN(12*N$4,IF(RentRoll!$K$14="",99999,RentRoll!$K$14))-MAX(12*(N$4-1),RentRoll!$R$14))+RentRoll!$L$14*MAX(0,12*N$4-MAX(12*(N$4-1),IF(RentRoll!$K$14="",99999,RentRoll!$K$14),RentRoll!$R$14)))/12</f>
        <v>14627.9330399371</v>
      </c>
    </row>
    <row r="30" customFormat="false" ht="15" hidden="false" customHeight="false" outlineLevel="0" collapsed="false">
      <c r="A30" s="91" t="str">
        <f aca="false">RentRoll!B15</f>
        <v>Large tenant (~5.75 ac, in county)</v>
      </c>
      <c r="D30" s="71" t="n">
        <f aca="false">RentRoll!$H$15*RentRoll!$P$15*(1+IF(RentRoll!$I$15="",RentGrowth+$B$20,RentRoll!$I$15))^(D$4-1)*(MAX(0,MIN(12*D$4,IF(RentRoll!$K$15="",99999,RentRoll!$K$15))-MAX(12*(D$4-1),RentRoll!$R$15))+RentRoll!$L$15*MAX(0,12*D$4-MAX(12*(D$4-1),IF(RentRoll!$K$15="",99999,RentRoll!$K$15),RentRoll!$R$15)))/12</f>
        <v>0</v>
      </c>
      <c r="E30" s="71" t="n">
        <f aca="false">RentRoll!$H$15*RentRoll!$P$15*(1+IF(RentRoll!$I$15="",RentGrowth+$B$20,RentRoll!$I$15))^(E$4-1)*(MAX(0,MIN(12*E$4,IF(RentRoll!$K$15="",99999,RentRoll!$K$15))-MAX(12*(E$4-1),RentRoll!$R$15))+RentRoll!$L$15*MAX(0,12*E$4-MAX(12*(E$4-1),IF(RentRoll!$K$15="",99999,RentRoll!$K$15),RentRoll!$R$15)))/12</f>
        <v>0</v>
      </c>
      <c r="F30" s="71" t="n">
        <f aca="false">RentRoll!$H$15*RentRoll!$P$15*(1+IF(RentRoll!$I$15="",RentGrowth+$B$20,RentRoll!$I$15))^(F$4-1)*(MAX(0,MIN(12*F$4,IF(RentRoll!$K$15="",99999,RentRoll!$K$15))-MAX(12*(F$4-1),RentRoll!$R$15))+RentRoll!$L$15*MAX(0,12*F$4-MAX(12*(F$4-1),IF(RentRoll!$K$15="",99999,RentRoll!$K$15),RentRoll!$R$15)))/12</f>
        <v>0</v>
      </c>
      <c r="G30" s="71" t="n">
        <f aca="false">RentRoll!$H$15*RentRoll!$P$15*(1+IF(RentRoll!$I$15="",RentGrowth+$B$20,RentRoll!$I$15))^(G$4-1)*(MAX(0,MIN(12*G$4,IF(RentRoll!$K$15="",99999,RentRoll!$K$15))-MAX(12*(G$4-1),RentRoll!$R$15))+RentRoll!$L$15*MAX(0,12*G$4-MAX(12*(G$4-1),IF(RentRoll!$K$15="",99999,RentRoll!$K$15),RentRoll!$R$15)))/12</f>
        <v>0</v>
      </c>
      <c r="H30" s="71" t="n">
        <f aca="false">RentRoll!$H$15*RentRoll!$P$15*(1+IF(RentRoll!$I$15="",RentGrowth+$B$20,RentRoll!$I$15))^(H$4-1)*(MAX(0,MIN(12*H$4,IF(RentRoll!$K$15="",99999,RentRoll!$K$15))-MAX(12*(H$4-1),RentRoll!$R$15))+RentRoll!$L$15*MAX(0,12*H$4-MAX(12*(H$4-1),IF(RentRoll!$K$15="",99999,RentRoll!$K$15),RentRoll!$R$15)))/12</f>
        <v>0</v>
      </c>
      <c r="I30" s="71" t="n">
        <f aca="false">RentRoll!$H$15*RentRoll!$P$15*(1+IF(RentRoll!$I$15="",RentGrowth+$B$20,RentRoll!$I$15))^(I$4-1)*(MAX(0,MIN(12*I$4,IF(RentRoll!$K$15="",99999,RentRoll!$K$15))-MAX(12*(I$4-1),RentRoll!$R$15))+RentRoll!$L$15*MAX(0,12*I$4-MAX(12*(I$4-1),IF(RentRoll!$K$15="",99999,RentRoll!$K$15),RentRoll!$R$15)))/12</f>
        <v>0</v>
      </c>
      <c r="J30" s="71" t="n">
        <f aca="false">RentRoll!$H$15*RentRoll!$P$15*(1+IF(RentRoll!$I$15="",RentGrowth+$B$20,RentRoll!$I$15))^(J$4-1)*(MAX(0,MIN(12*J$4,IF(RentRoll!$K$15="",99999,RentRoll!$K$15))-MAX(12*(J$4-1),RentRoll!$R$15))+RentRoll!$L$15*MAX(0,12*J$4-MAX(12*(J$4-1),IF(RentRoll!$K$15="",99999,RentRoll!$K$15),RentRoll!$R$15)))/12</f>
        <v>0</v>
      </c>
      <c r="K30" s="71" t="n">
        <f aca="false">RentRoll!$H$15*RentRoll!$P$15*(1+IF(RentRoll!$I$15="",RentGrowth+$B$20,RentRoll!$I$15))^(K$4-1)*(MAX(0,MIN(12*K$4,IF(RentRoll!$K$15="",99999,RentRoll!$K$15))-MAX(12*(K$4-1),RentRoll!$R$15))+RentRoll!$L$15*MAX(0,12*K$4-MAX(12*(K$4-1),IF(RentRoll!$K$15="",99999,RentRoll!$K$15),RentRoll!$R$15)))/12</f>
        <v>0</v>
      </c>
      <c r="L30" s="71" t="n">
        <f aca="false">RentRoll!$H$15*RentRoll!$P$15*(1+IF(RentRoll!$I$15="",RentGrowth+$B$20,RentRoll!$I$15))^(L$4-1)*(MAX(0,MIN(12*L$4,IF(RentRoll!$K$15="",99999,RentRoll!$K$15))-MAX(12*(L$4-1),RentRoll!$R$15))+RentRoll!$L$15*MAX(0,12*L$4-MAX(12*(L$4-1),IF(RentRoll!$K$15="",99999,RentRoll!$K$15),RentRoll!$R$15)))/12</f>
        <v>0</v>
      </c>
      <c r="M30" s="71" t="n">
        <f aca="false">RentRoll!$H$15*RentRoll!$P$15*(1+IF(RentRoll!$I$15="",RentGrowth+$B$20,RentRoll!$I$15))^(M$4-1)*(MAX(0,MIN(12*M$4,IF(RentRoll!$K$15="",99999,RentRoll!$K$15))-MAX(12*(M$4-1),RentRoll!$R$15))+RentRoll!$L$15*MAX(0,12*M$4-MAX(12*(M$4-1),IF(RentRoll!$K$15="",99999,RentRoll!$K$15),RentRoll!$R$15)))/12</f>
        <v>0</v>
      </c>
      <c r="N30" s="71" t="n">
        <f aca="false">RentRoll!$H$15*RentRoll!$P$15*(1+IF(RentRoll!$I$15="",RentGrowth+$B$20,RentRoll!$I$15))^(N$4-1)*(MAX(0,MIN(12*N$4,IF(RentRoll!$K$15="",99999,RentRoll!$K$15))-MAX(12*(N$4-1),RentRoll!$R$15))+RentRoll!$L$15*MAX(0,12*N$4-MAX(12*(N$4-1),IF(RentRoll!$K$15="",99999,RentRoll!$K$15),RentRoll!$R$15)))/12</f>
        <v>0</v>
      </c>
    </row>
    <row r="31" customFormat="false" ht="15" hidden="false" customHeight="false" outlineLevel="0" collapsed="false">
      <c r="A31" s="79" t="s">
        <v>210</v>
      </c>
      <c r="D31" s="80" t="n">
        <f aca="false">SUM(D21:D30)</f>
        <v>457700</v>
      </c>
      <c r="E31" s="80" t="n">
        <f aca="false">SUM(E21:E30)</f>
        <v>482184</v>
      </c>
      <c r="F31" s="80" t="n">
        <f aca="false">SUM(F21:F30)</f>
        <v>484695.12</v>
      </c>
      <c r="G31" s="80" t="n">
        <f aca="false">SUM(G21:G30)</f>
        <v>496044.0264</v>
      </c>
      <c r="H31" s="80" t="n">
        <f aca="false">SUM(H21:H30)</f>
        <v>507669.561048</v>
      </c>
      <c r="I31" s="80" t="n">
        <f aca="false">SUM(I21:I30)</f>
        <v>492451.73267394</v>
      </c>
      <c r="J31" s="80" t="n">
        <f aca="false">SUM(J21:J30)</f>
        <v>503837.964749941</v>
      </c>
      <c r="K31" s="80" t="n">
        <f aca="false">SUM(K21:K30)</f>
        <v>515498.037390137</v>
      </c>
      <c r="L31" s="80" t="n">
        <f aca="false">SUM(L21:L30)</f>
        <v>527438.810883493</v>
      </c>
      <c r="M31" s="80" t="n">
        <f aca="false">SUM(M21:M30)</f>
        <v>539667.324229083</v>
      </c>
      <c r="N31" s="80" t="n">
        <f aca="false">SUM(N21:N30)</f>
        <v>552190.799955422</v>
      </c>
    </row>
    <row r="32" customFormat="false" ht="15" hidden="false" customHeight="false" outlineLevel="0" collapsed="false">
      <c r="A32" s="79" t="s">
        <v>46</v>
      </c>
      <c r="D32" s="80" t="n">
        <f aca="false">D31*(1-Vacancy)*(1-MgmtPct)+SUM(CashFlow!D24:D26)</f>
        <v>427815</v>
      </c>
      <c r="E32" s="80" t="n">
        <f aca="false">E31*(1-Vacancy)*(1-MgmtPct)+SUM(CashFlow!E24:E26)</f>
        <v>450864.8</v>
      </c>
      <c r="F32" s="80" t="n">
        <f aca="false">F31*(1-Vacancy)*(1-MgmtPct)+SUM(CashFlow!F24:F26)</f>
        <v>453034.064</v>
      </c>
      <c r="G32" s="80" t="n">
        <f aca="false">G31*(1-Vacancy)*(1-MgmtPct)+SUM(CashFlow!G24:G26)</f>
        <v>463592.73608</v>
      </c>
      <c r="H32" s="80" t="n">
        <f aca="false">H31*(1-Vacancy)*(1-MgmtPct)+SUM(CashFlow!H24:H26)</f>
        <v>474407.5213256</v>
      </c>
      <c r="I32" s="80" t="n">
        <f aca="false">I31*(1-Vacancy)*(1-MgmtPct)+SUM(CashFlow!I24:I26)</f>
        <v>459714.227520143</v>
      </c>
      <c r="J32" s="80" t="n">
        <f aca="false">J31*(1-Vacancy)*(1-MgmtPct)+SUM(CashFlow!J24:J26)</f>
        <v>470287.700436741</v>
      </c>
      <c r="K32" s="80" t="n">
        <f aca="false">K31*(1-Vacancy)*(1-MgmtPct)+SUM(CashFlow!K24:K26)</f>
        <v>481114.018462656</v>
      </c>
      <c r="L32" s="80" t="n">
        <f aca="false">L31*(1-Vacancy)*(1-MgmtPct)+SUM(CashFlow!L24:L26)</f>
        <v>492199.479769605</v>
      </c>
      <c r="M32" s="80" t="n">
        <f aca="false">M31*(1-Vacancy)*(1-MgmtPct)+SUM(CashFlow!M24:M26)</f>
        <v>503550.545730824</v>
      </c>
      <c r="N32" s="80" t="n">
        <f aca="false">N31*(1-Vacancy)*(1-MgmtPct)+SUM(CashFlow!N24:N26)</f>
        <v>515173.845302242</v>
      </c>
    </row>
    <row r="34" customFormat="false" ht="15" hidden="false" customHeight="false" outlineLevel="0" collapsed="false">
      <c r="A34" s="57" t="s">
        <v>270</v>
      </c>
      <c r="B34" s="102" t="n">
        <f aca="false">(2-2)*StepG</f>
        <v>0</v>
      </c>
      <c r="C34" s="57"/>
      <c r="D34" s="57"/>
      <c r="E34" s="57"/>
      <c r="F34" s="57"/>
      <c r="G34" s="57"/>
      <c r="H34" s="57"/>
      <c r="I34" s="57"/>
      <c r="J34" s="57"/>
      <c r="K34" s="57"/>
      <c r="L34" s="57"/>
      <c r="M34" s="57"/>
      <c r="N34" s="57"/>
    </row>
    <row r="35" customFormat="false" ht="15" hidden="false" customHeight="false" outlineLevel="0" collapsed="false">
      <c r="A35" s="91" t="str">
        <f aca="false">RentRoll!B6</f>
        <v>S&amp;A Leasing</v>
      </c>
      <c r="D35" s="71" t="n">
        <f aca="false">RentRoll!$H$6*RentRoll!$P$6*(1+IF(RentRoll!$I$6="",RentGrowth+$B$34,RentRoll!$I$6))^(D$4-1)*(MAX(0,MIN(12*D$4,IF(RentRoll!$K$6="",99999,RentRoll!$K$6))-MAX(12*(D$4-1),RentRoll!$R$6))+RentRoll!$L$6*MAX(0,12*D$4-MAX(12*(D$4-1),IF(RentRoll!$K$6="",99999,RentRoll!$K$6),RentRoll!$R$6)))/12</f>
        <v>156000</v>
      </c>
      <c r="E35" s="71" t="n">
        <f aca="false">RentRoll!$H$6*RentRoll!$P$6*(1+IF(RentRoll!$I$6="",RentGrowth+$B$34,RentRoll!$I$6))^(E$4-1)*(MAX(0,MIN(12*E$4,IF(RentRoll!$K$6="",99999,RentRoll!$K$6))-MAX(12*(E$4-1),RentRoll!$R$6))+RentRoll!$L$6*MAX(0,12*E$4-MAX(12*(E$4-1),IF(RentRoll!$K$6="",99999,RentRoll!$K$6),RentRoll!$R$6)))/12</f>
        <v>160680</v>
      </c>
      <c r="F35" s="71" t="n">
        <f aca="false">RentRoll!$H$6*RentRoll!$P$6*(1+IF(RentRoll!$I$6="",RentGrowth+$B$34,RentRoll!$I$6))^(F$4-1)*(MAX(0,MIN(12*F$4,IF(RentRoll!$K$6="",99999,RentRoll!$K$6))-MAX(12*(F$4-1),RentRoll!$R$6))+RentRoll!$L$6*MAX(0,12*F$4-MAX(12*(F$4-1),IF(RentRoll!$K$6="",99999,RentRoll!$K$6),RentRoll!$R$6)))/12</f>
        <v>165500.4</v>
      </c>
      <c r="G35" s="71" t="n">
        <f aca="false">RentRoll!$H$6*RentRoll!$P$6*(1+IF(RentRoll!$I$6="",RentGrowth+$B$34,RentRoll!$I$6))^(G$4-1)*(MAX(0,MIN(12*G$4,IF(RentRoll!$K$6="",99999,RentRoll!$K$6))-MAX(12*(G$4-1),RentRoll!$R$6))+RentRoll!$L$6*MAX(0,12*G$4-MAX(12*(G$4-1),IF(RentRoll!$K$6="",99999,RentRoll!$K$6),RentRoll!$R$6)))/12</f>
        <v>170465.412</v>
      </c>
      <c r="H35" s="71" t="n">
        <f aca="false">RentRoll!$H$6*RentRoll!$P$6*(1+IF(RentRoll!$I$6="",RentGrowth+$B$34,RentRoll!$I$6))^(H$4-1)*(MAX(0,MIN(12*H$4,IF(RentRoll!$K$6="",99999,RentRoll!$K$6))-MAX(12*(H$4-1),RentRoll!$R$6))+RentRoll!$L$6*MAX(0,12*H$4-MAX(12*(H$4-1),IF(RentRoll!$K$6="",99999,RentRoll!$K$6),RentRoll!$R$6)))/12</f>
        <v>175579.37436</v>
      </c>
      <c r="I35" s="71" t="n">
        <f aca="false">RentRoll!$H$6*RentRoll!$P$6*(1+IF(RentRoll!$I$6="",RentGrowth+$B$34,RentRoll!$I$6))^(I$4-1)*(MAX(0,MIN(12*I$4,IF(RentRoll!$K$6="",99999,RentRoll!$K$6))-MAX(12*(I$4-1),RentRoll!$R$6))+RentRoll!$L$6*MAX(0,12*I$4-MAX(12*(I$4-1),IF(RentRoll!$K$6="",99999,RentRoll!$K$6),RentRoll!$R$6)))/12</f>
        <v>153719.74225218</v>
      </c>
      <c r="J35" s="71" t="n">
        <f aca="false">RentRoll!$H$6*RentRoll!$P$6*(1+IF(RentRoll!$I$6="",RentGrowth+$B$34,RentRoll!$I$6))^(J$4-1)*(MAX(0,MIN(12*J$4,IF(RentRoll!$K$6="",99999,RentRoll!$K$6))-MAX(12*(J$4-1),RentRoll!$R$6))+RentRoll!$L$6*MAX(0,12*J$4-MAX(12*(J$4-1),IF(RentRoll!$K$6="",99999,RentRoll!$K$6),RentRoll!$R$6)))/12</f>
        <v>158331.334519745</v>
      </c>
      <c r="K35" s="71" t="n">
        <f aca="false">RentRoll!$H$6*RentRoll!$P$6*(1+IF(RentRoll!$I$6="",RentGrowth+$B$34,RentRoll!$I$6))^(K$4-1)*(MAX(0,MIN(12*K$4,IF(RentRoll!$K$6="",99999,RentRoll!$K$6))-MAX(12*(K$4-1),RentRoll!$R$6))+RentRoll!$L$6*MAX(0,12*K$4-MAX(12*(K$4-1),IF(RentRoll!$K$6="",99999,RentRoll!$K$6),RentRoll!$R$6)))/12</f>
        <v>163081.274555338</v>
      </c>
      <c r="L35" s="71" t="n">
        <f aca="false">RentRoll!$H$6*RentRoll!$P$6*(1+IF(RentRoll!$I$6="",RentGrowth+$B$34,RentRoll!$I$6))^(L$4-1)*(MAX(0,MIN(12*L$4,IF(RentRoll!$K$6="",99999,RentRoll!$K$6))-MAX(12*(L$4-1),RentRoll!$R$6))+RentRoll!$L$6*MAX(0,12*L$4-MAX(12*(L$4-1),IF(RentRoll!$K$6="",99999,RentRoll!$K$6),RentRoll!$R$6)))/12</f>
        <v>167973.712791998</v>
      </c>
      <c r="M35" s="71" t="n">
        <f aca="false">RentRoll!$H$6*RentRoll!$P$6*(1+IF(RentRoll!$I$6="",RentGrowth+$B$34,RentRoll!$I$6))^(M$4-1)*(MAX(0,MIN(12*M$4,IF(RentRoll!$K$6="",99999,RentRoll!$K$6))-MAX(12*(M$4-1),RentRoll!$R$6))+RentRoll!$L$6*MAX(0,12*M$4-MAX(12*(M$4-1),IF(RentRoll!$K$6="",99999,RentRoll!$K$6),RentRoll!$R$6)))/12</f>
        <v>173012.924175758</v>
      </c>
      <c r="N35" s="71" t="n">
        <f aca="false">RentRoll!$H$6*RentRoll!$P$6*(1+IF(RentRoll!$I$6="",RentGrowth+$B$34,RentRoll!$I$6))^(N$4-1)*(MAX(0,MIN(12*N$4,IF(RentRoll!$K$6="",99999,RentRoll!$K$6))-MAX(12*(N$4-1),RentRoll!$R$6))+RentRoll!$L$6*MAX(0,12*N$4-MAX(12*(N$4-1),IF(RentRoll!$K$6="",99999,RentRoll!$K$6),RentRoll!$R$6)))/12</f>
        <v>178203.311901031</v>
      </c>
    </row>
    <row r="36" customFormat="false" ht="15" hidden="false" customHeight="false" outlineLevel="0" collapsed="false">
      <c r="A36" s="91" t="str">
        <f aca="false">RentRoll!B7</f>
        <v>Reindeer (Prime)</v>
      </c>
      <c r="D36" s="71" t="n">
        <f aca="false">RentRoll!$H$7*RentRoll!$P$7*(1+IF(RentRoll!$I$7="",RentGrowth+$B$34,RentRoll!$I$7))^(D$4-1)*(MAX(0,MIN(12*D$4,IF(RentRoll!$K$7="",99999,RentRoll!$K$7))-MAX(12*(D$4-1),RentRoll!$R$7))+RentRoll!$L$7*MAX(0,12*D$4-MAX(12*(D$4-1),IF(RentRoll!$K$7="",99999,RentRoll!$K$7),RentRoll!$R$7)))/12</f>
        <v>84000</v>
      </c>
      <c r="E36" s="71" t="n">
        <f aca="false">RentRoll!$H$7*RentRoll!$P$7*(1+IF(RentRoll!$I$7="",RentGrowth+$B$34,RentRoll!$I$7))^(E$4-1)*(MAX(0,MIN(12*E$4,IF(RentRoll!$K$7="",99999,RentRoll!$K$7))-MAX(12*(E$4-1),RentRoll!$R$7))+RentRoll!$L$7*MAX(0,12*E$4-MAX(12*(E$4-1),IF(RentRoll!$K$7="",99999,RentRoll!$K$7),RentRoll!$R$7)))/12</f>
        <v>86520</v>
      </c>
      <c r="F36" s="71" t="n">
        <f aca="false">RentRoll!$H$7*RentRoll!$P$7*(1+IF(RentRoll!$I$7="",RentGrowth+$B$34,RentRoll!$I$7))^(F$4-1)*(MAX(0,MIN(12*F$4,IF(RentRoll!$K$7="",99999,RentRoll!$K$7))-MAX(12*(F$4-1),RentRoll!$R$7))+RentRoll!$L$7*MAX(0,12*F$4-MAX(12*(F$4-1),IF(RentRoll!$K$7="",99999,RentRoll!$K$7),RentRoll!$R$7)))/12</f>
        <v>80204.04</v>
      </c>
      <c r="G36" s="71" t="n">
        <f aca="false">RentRoll!$H$7*RentRoll!$P$7*(1+IF(RentRoll!$I$7="",RentGrowth+$B$34,RentRoll!$I$7))^(G$4-1)*(MAX(0,MIN(12*G$4,IF(RentRoll!$K$7="",99999,RentRoll!$K$7))-MAX(12*(G$4-1),RentRoll!$R$7))+RentRoll!$L$7*MAX(0,12*G$4-MAX(12*(G$4-1),IF(RentRoll!$K$7="",99999,RentRoll!$K$7),RentRoll!$R$7)))/12</f>
        <v>82610.1612</v>
      </c>
      <c r="H36" s="71" t="n">
        <f aca="false">RentRoll!$H$7*RentRoll!$P$7*(1+IF(RentRoll!$I$7="",RentGrowth+$B$34,RentRoll!$I$7))^(H$4-1)*(MAX(0,MIN(12*H$4,IF(RentRoll!$K$7="",99999,RentRoll!$K$7))-MAX(12*(H$4-1),RentRoll!$R$7))+RentRoll!$L$7*MAX(0,12*H$4-MAX(12*(H$4-1),IF(RentRoll!$K$7="",99999,RentRoll!$K$7),RentRoll!$R$7)))/12</f>
        <v>85088.466036</v>
      </c>
      <c r="I36" s="71" t="n">
        <f aca="false">RentRoll!$H$7*RentRoll!$P$7*(1+IF(RentRoll!$I$7="",RentGrowth+$B$34,RentRoll!$I$7))^(I$4-1)*(MAX(0,MIN(12*I$4,IF(RentRoll!$K$7="",99999,RentRoll!$K$7))-MAX(12*(I$4-1),RentRoll!$R$7))+RentRoll!$L$7*MAX(0,12*I$4-MAX(12*(I$4-1),IF(RentRoll!$K$7="",99999,RentRoll!$K$7),RentRoll!$R$7)))/12</f>
        <v>87641.12001708</v>
      </c>
      <c r="J36" s="71" t="n">
        <f aca="false">RentRoll!$H$7*RentRoll!$P$7*(1+IF(RentRoll!$I$7="",RentGrowth+$B$34,RentRoll!$I$7))^(J$4-1)*(MAX(0,MIN(12*J$4,IF(RentRoll!$K$7="",99999,RentRoll!$K$7))-MAX(12*(J$4-1),RentRoll!$R$7))+RentRoll!$L$7*MAX(0,12*J$4-MAX(12*(J$4-1),IF(RentRoll!$K$7="",99999,RentRoll!$K$7),RentRoll!$R$7)))/12</f>
        <v>90270.3536175924</v>
      </c>
      <c r="K36" s="71" t="n">
        <f aca="false">RentRoll!$H$7*RentRoll!$P$7*(1+IF(RentRoll!$I$7="",RentGrowth+$B$34,RentRoll!$I$7))^(K$4-1)*(MAX(0,MIN(12*K$4,IF(RentRoll!$K$7="",99999,RentRoll!$K$7))-MAX(12*(K$4-1),RentRoll!$R$7))+RentRoll!$L$7*MAX(0,12*K$4-MAX(12*(K$4-1),IF(RentRoll!$K$7="",99999,RentRoll!$K$7),RentRoll!$R$7)))/12</f>
        <v>92978.4642261202</v>
      </c>
      <c r="L36" s="71" t="n">
        <f aca="false">RentRoll!$H$7*RentRoll!$P$7*(1+IF(RentRoll!$I$7="",RentGrowth+$B$34,RentRoll!$I$7))^(L$4-1)*(MAX(0,MIN(12*L$4,IF(RentRoll!$K$7="",99999,RentRoll!$K$7))-MAX(12*(L$4-1),RentRoll!$R$7))+RentRoll!$L$7*MAX(0,12*L$4-MAX(12*(L$4-1),IF(RentRoll!$K$7="",99999,RentRoll!$K$7),RentRoll!$R$7)))/12</f>
        <v>95767.8181529038</v>
      </c>
      <c r="M36" s="71" t="n">
        <f aca="false">RentRoll!$H$7*RentRoll!$P$7*(1+IF(RentRoll!$I$7="",RentGrowth+$B$34,RentRoll!$I$7))^(M$4-1)*(MAX(0,MIN(12*M$4,IF(RentRoll!$K$7="",99999,RentRoll!$K$7))-MAX(12*(M$4-1),RentRoll!$R$7))+RentRoll!$L$7*MAX(0,12*M$4-MAX(12*(M$4-1),IF(RentRoll!$K$7="",99999,RentRoll!$K$7),RentRoll!$R$7)))/12</f>
        <v>98640.8526974909</v>
      </c>
      <c r="N36" s="71" t="n">
        <f aca="false">RentRoll!$H$7*RentRoll!$P$7*(1+IF(RentRoll!$I$7="",RentGrowth+$B$34,RentRoll!$I$7))^(N$4-1)*(MAX(0,MIN(12*N$4,IF(RentRoll!$K$7="",99999,RentRoll!$K$7))-MAX(12*(N$4-1),RentRoll!$R$7))+RentRoll!$L$7*MAX(0,12*N$4-MAX(12*(N$4-1),IF(RentRoll!$K$7="",99999,RentRoll!$K$7),RentRoll!$R$7)))/12</f>
        <v>101600.078278416</v>
      </c>
    </row>
    <row r="37" customFormat="false" ht="15" hidden="false" customHeight="false" outlineLevel="0" collapsed="false">
      <c r="A37" s="91" t="str">
        <f aca="false">RentRoll!B8</f>
        <v>Straight 6</v>
      </c>
      <c r="D37" s="71" t="n">
        <f aca="false">RentRoll!$H$8*RentRoll!$P$8*(1+IF(RentRoll!$I$8="",RentGrowth+$B$34,RentRoll!$I$8))^(D$4-1)*(MAX(0,MIN(12*D$4,IF(RentRoll!$K$8="",99999,RentRoll!$K$8))-MAX(12*(D$4-1),RentRoll!$R$8))+RentRoll!$L$8*MAX(0,12*D$4-MAX(12*(D$4-1),IF(RentRoll!$K$8="",99999,RentRoll!$K$8),RentRoll!$R$8)))/12</f>
        <v>78000</v>
      </c>
      <c r="E37" s="71" t="n">
        <f aca="false">RentRoll!$H$8*RentRoll!$P$8*(1+IF(RentRoll!$I$8="",RentGrowth+$B$34,RentRoll!$I$8))^(E$4-1)*(MAX(0,MIN(12*E$4,IF(RentRoll!$K$8="",99999,RentRoll!$K$8))-MAX(12*(E$4-1),RentRoll!$R$8))+RentRoll!$L$8*MAX(0,12*E$4-MAX(12*(E$4-1),IF(RentRoll!$K$8="",99999,RentRoll!$K$8),RentRoll!$R$8)))/12</f>
        <v>80340</v>
      </c>
      <c r="F37" s="71" t="n">
        <f aca="false">RentRoll!$H$8*RentRoll!$P$8*(1+IF(RentRoll!$I$8="",RentGrowth+$B$34,RentRoll!$I$8))^(F$4-1)*(MAX(0,MIN(12*F$4,IF(RentRoll!$K$8="",99999,RentRoll!$K$8))-MAX(12*(F$4-1),RentRoll!$R$8))+RentRoll!$L$8*MAX(0,12*F$4-MAX(12*(F$4-1),IF(RentRoll!$K$8="",99999,RentRoll!$K$8),RentRoll!$R$8)))/12</f>
        <v>82750.2</v>
      </c>
      <c r="G37" s="71" t="n">
        <f aca="false">RentRoll!$H$8*RentRoll!$P$8*(1+IF(RentRoll!$I$8="",RentGrowth+$B$34,RentRoll!$I$8))^(G$4-1)*(MAX(0,MIN(12*G$4,IF(RentRoll!$K$8="",99999,RentRoll!$K$8))-MAX(12*(G$4-1),RentRoll!$R$8))+RentRoll!$L$8*MAX(0,12*G$4-MAX(12*(G$4-1),IF(RentRoll!$K$8="",99999,RentRoll!$K$8),RentRoll!$R$8)))/12</f>
        <v>85232.706</v>
      </c>
      <c r="H37" s="71" t="n">
        <f aca="false">RentRoll!$H$8*RentRoll!$P$8*(1+IF(RentRoll!$I$8="",RentGrowth+$B$34,RentRoll!$I$8))^(H$4-1)*(MAX(0,MIN(12*H$4,IF(RentRoll!$K$8="",99999,RentRoll!$K$8))-MAX(12*(H$4-1),RentRoll!$R$8))+RentRoll!$L$8*MAX(0,12*H$4-MAX(12*(H$4-1),IF(RentRoll!$K$8="",99999,RentRoll!$K$8),RentRoll!$R$8)))/12</f>
        <v>87789.68718</v>
      </c>
      <c r="I37" s="71" t="n">
        <f aca="false">RentRoll!$H$8*RentRoll!$P$8*(1+IF(RentRoll!$I$8="",RentGrowth+$B$34,RentRoll!$I$8))^(I$4-1)*(MAX(0,MIN(12*I$4,IF(RentRoll!$K$8="",99999,RentRoll!$K$8))-MAX(12*(I$4-1),RentRoll!$R$8))+RentRoll!$L$8*MAX(0,12*I$4-MAX(12*(I$4-1),IF(RentRoll!$K$8="",99999,RentRoll!$K$8),RentRoll!$R$8)))/12</f>
        <v>90423.3777954</v>
      </c>
      <c r="J37" s="71" t="n">
        <f aca="false">RentRoll!$H$8*RentRoll!$P$8*(1+IF(RentRoll!$I$8="",RentGrowth+$B$34,RentRoll!$I$8))^(J$4-1)*(MAX(0,MIN(12*J$4,IF(RentRoll!$K$8="",99999,RentRoll!$K$8))-MAX(12*(J$4-1),RentRoll!$R$8))+RentRoll!$L$8*MAX(0,12*J$4-MAX(12*(J$4-1),IF(RentRoll!$K$8="",99999,RentRoll!$K$8),RentRoll!$R$8)))/12</f>
        <v>93136.079129262</v>
      </c>
      <c r="K37" s="71" t="n">
        <f aca="false">RentRoll!$H$8*RentRoll!$P$8*(1+IF(RentRoll!$I$8="",RentGrowth+$B$34,RentRoll!$I$8))^(K$4-1)*(MAX(0,MIN(12*K$4,IF(RentRoll!$K$8="",99999,RentRoll!$K$8))-MAX(12*(K$4-1),RentRoll!$R$8))+RentRoll!$L$8*MAX(0,12*K$4-MAX(12*(K$4-1),IF(RentRoll!$K$8="",99999,RentRoll!$K$8),RentRoll!$R$8)))/12</f>
        <v>95930.1615031399</v>
      </c>
      <c r="L37" s="71" t="n">
        <f aca="false">RentRoll!$H$8*RentRoll!$P$8*(1+IF(RentRoll!$I$8="",RentGrowth+$B$34,RentRoll!$I$8))^(L$4-1)*(MAX(0,MIN(12*L$4,IF(RentRoll!$K$8="",99999,RentRoll!$K$8))-MAX(12*(L$4-1),RentRoll!$R$8))+RentRoll!$L$8*MAX(0,12*L$4-MAX(12*(L$4-1),IF(RentRoll!$K$8="",99999,RentRoll!$K$8),RentRoll!$R$8)))/12</f>
        <v>98808.0663482341</v>
      </c>
      <c r="M37" s="71" t="n">
        <f aca="false">RentRoll!$H$8*RentRoll!$P$8*(1+IF(RentRoll!$I$8="",RentGrowth+$B$34,RentRoll!$I$8))^(M$4-1)*(MAX(0,MIN(12*M$4,IF(RentRoll!$K$8="",99999,RentRoll!$K$8))-MAX(12*(M$4-1),RentRoll!$R$8))+RentRoll!$L$8*MAX(0,12*M$4-MAX(12*(M$4-1),IF(RentRoll!$K$8="",99999,RentRoll!$K$8),RentRoll!$R$8)))/12</f>
        <v>101772.308338681</v>
      </c>
      <c r="N37" s="71" t="n">
        <f aca="false">RentRoll!$H$8*RentRoll!$P$8*(1+IF(RentRoll!$I$8="",RentGrowth+$B$34,RentRoll!$I$8))^(N$4-1)*(MAX(0,MIN(12*N$4,IF(RentRoll!$K$8="",99999,RentRoll!$K$8))-MAX(12*(N$4-1),RentRoll!$R$8))+RentRoll!$L$8*MAX(0,12*N$4-MAX(12*(N$4-1),IF(RentRoll!$K$8="",99999,RentRoll!$K$8),RentRoll!$R$8)))/12</f>
        <v>104825.477588842</v>
      </c>
    </row>
    <row r="38" customFormat="false" ht="15" hidden="false" customHeight="false" outlineLevel="0" collapsed="false">
      <c r="A38" s="91" t="str">
        <f aca="false">RentRoll!B9</f>
        <v>Big Dawgs (repo)</v>
      </c>
      <c r="D38" s="71" t="n">
        <f aca="false">RentRoll!$H$9*RentRoll!$P$9*(1+IF(RentRoll!$I$9="",RentGrowth+$B$34,RentRoll!$I$9))^(D$4-1)*(MAX(0,MIN(12*D$4,IF(RentRoll!$K$9="",99999,RentRoll!$K$9))-MAX(12*(D$4-1),RentRoll!$R$9))+RentRoll!$L$9*MAX(0,12*D$4-MAX(12*(D$4-1),IF(RentRoll!$K$9="",99999,RentRoll!$K$9),RentRoll!$R$9)))/12</f>
        <v>48000</v>
      </c>
      <c r="E38" s="71" t="n">
        <f aca="false">RentRoll!$H$9*RentRoll!$P$9*(1+IF(RentRoll!$I$9="",RentGrowth+$B$34,RentRoll!$I$9))^(E$4-1)*(MAX(0,MIN(12*E$4,IF(RentRoll!$K$9="",99999,RentRoll!$K$9))-MAX(12*(E$4-1),RentRoll!$R$9))+RentRoll!$L$9*MAX(0,12*E$4-MAX(12*(E$4-1),IF(RentRoll!$K$9="",99999,RentRoll!$K$9),RentRoll!$R$9)))/12</f>
        <v>49440</v>
      </c>
      <c r="F38" s="71" t="n">
        <f aca="false">RentRoll!$H$9*RentRoll!$P$9*(1+IF(RentRoll!$I$9="",RentGrowth+$B$34,RentRoll!$I$9))^(F$4-1)*(MAX(0,MIN(12*F$4,IF(RentRoll!$K$9="",99999,RentRoll!$K$9))-MAX(12*(F$4-1),RentRoll!$R$9))+RentRoll!$L$9*MAX(0,12*F$4-MAX(12*(F$4-1),IF(RentRoll!$K$9="",99999,RentRoll!$K$9),RentRoll!$R$9)))/12</f>
        <v>50923.2</v>
      </c>
      <c r="G38" s="71" t="n">
        <f aca="false">RentRoll!$H$9*RentRoll!$P$9*(1+IF(RentRoll!$I$9="",RentGrowth+$B$34,RentRoll!$I$9))^(G$4-1)*(MAX(0,MIN(12*G$4,IF(RentRoll!$K$9="",99999,RentRoll!$K$9))-MAX(12*(G$4-1),RentRoll!$R$9))+RentRoll!$L$9*MAX(0,12*G$4-MAX(12*(G$4-1),IF(RentRoll!$K$9="",99999,RentRoll!$K$9),RentRoll!$R$9)))/12</f>
        <v>52450.896</v>
      </c>
      <c r="H38" s="71" t="n">
        <f aca="false">RentRoll!$H$9*RentRoll!$P$9*(1+IF(RentRoll!$I$9="",RentGrowth+$B$34,RentRoll!$I$9))^(H$4-1)*(MAX(0,MIN(12*H$4,IF(RentRoll!$K$9="",99999,RentRoll!$K$9))-MAX(12*(H$4-1),RentRoll!$R$9))+RentRoll!$L$9*MAX(0,12*H$4-MAX(12*(H$4-1),IF(RentRoll!$K$9="",99999,RentRoll!$K$9),RentRoll!$R$9)))/12</f>
        <v>54024.42288</v>
      </c>
      <c r="I38" s="71" t="n">
        <f aca="false">RentRoll!$H$9*RentRoll!$P$9*(1+IF(RentRoll!$I$9="",RentGrowth+$B$34,RentRoll!$I$9))^(I$4-1)*(MAX(0,MIN(12*I$4,IF(RentRoll!$K$9="",99999,RentRoll!$K$9))-MAX(12*(I$4-1),RentRoll!$R$9))+RentRoll!$L$9*MAX(0,12*I$4-MAX(12*(I$4-1),IF(RentRoll!$K$9="",99999,RentRoll!$K$9),RentRoll!$R$9)))/12</f>
        <v>55645.1555664</v>
      </c>
      <c r="J38" s="71" t="n">
        <f aca="false">RentRoll!$H$9*RentRoll!$P$9*(1+IF(RentRoll!$I$9="",RentGrowth+$B$34,RentRoll!$I$9))^(J$4-1)*(MAX(0,MIN(12*J$4,IF(RentRoll!$K$9="",99999,RentRoll!$K$9))-MAX(12*(J$4-1),RentRoll!$R$9))+RentRoll!$L$9*MAX(0,12*J$4-MAX(12*(J$4-1),IF(RentRoll!$K$9="",99999,RentRoll!$K$9),RentRoll!$R$9)))/12</f>
        <v>57314.510233392</v>
      </c>
      <c r="K38" s="71" t="n">
        <f aca="false">RentRoll!$H$9*RentRoll!$P$9*(1+IF(RentRoll!$I$9="",RentGrowth+$B$34,RentRoll!$I$9))^(K$4-1)*(MAX(0,MIN(12*K$4,IF(RentRoll!$K$9="",99999,RentRoll!$K$9))-MAX(12*(K$4-1),RentRoll!$R$9))+RentRoll!$L$9*MAX(0,12*K$4-MAX(12*(K$4-1),IF(RentRoll!$K$9="",99999,RentRoll!$K$9),RentRoll!$R$9)))/12</f>
        <v>59033.9455403938</v>
      </c>
      <c r="L38" s="71" t="n">
        <f aca="false">RentRoll!$H$9*RentRoll!$P$9*(1+IF(RentRoll!$I$9="",RentGrowth+$B$34,RentRoll!$I$9))^(L$4-1)*(MAX(0,MIN(12*L$4,IF(RentRoll!$K$9="",99999,RentRoll!$K$9))-MAX(12*(L$4-1),RentRoll!$R$9))+RentRoll!$L$9*MAX(0,12*L$4-MAX(12*(L$4-1),IF(RentRoll!$K$9="",99999,RentRoll!$K$9),RentRoll!$R$9)))/12</f>
        <v>60804.9639066056</v>
      </c>
      <c r="M38" s="71" t="n">
        <f aca="false">RentRoll!$H$9*RentRoll!$P$9*(1+IF(RentRoll!$I$9="",RentGrowth+$B$34,RentRoll!$I$9))^(M$4-1)*(MAX(0,MIN(12*M$4,IF(RentRoll!$K$9="",99999,RentRoll!$K$9))-MAX(12*(M$4-1),RentRoll!$R$9))+RentRoll!$L$9*MAX(0,12*M$4-MAX(12*(M$4-1),IF(RentRoll!$K$9="",99999,RentRoll!$K$9),RentRoll!$R$9)))/12</f>
        <v>62629.1128238038</v>
      </c>
      <c r="N38" s="71" t="n">
        <f aca="false">RentRoll!$H$9*RentRoll!$P$9*(1+IF(RentRoll!$I$9="",RentGrowth+$B$34,RentRoll!$I$9))^(N$4-1)*(MAX(0,MIN(12*N$4,IF(RentRoll!$K$9="",99999,RentRoll!$K$9))-MAX(12*(N$4-1),RentRoll!$R$9))+RentRoll!$L$9*MAX(0,12*N$4-MAX(12*(N$4-1),IF(RentRoll!$K$9="",99999,RentRoll!$K$9),RentRoll!$R$9)))/12</f>
        <v>64507.9862085179</v>
      </c>
    </row>
    <row r="39" customFormat="false" ht="15" hidden="false" customHeight="false" outlineLevel="0" collapsed="false">
      <c r="A39" s="91" t="str">
        <f aca="false">RentRoll!B10</f>
        <v>Individual tenants (various)</v>
      </c>
      <c r="D39" s="71" t="n">
        <f aca="false">RentRoll!$H$10*RentRoll!$P$10*(1+IF(RentRoll!$I$10="",RentGrowth+$B$34,RentRoll!$I$10))^(D$4-1)*(MAX(0,MIN(12*D$4,IF(RentRoll!$K$10="",99999,RentRoll!$K$10))-MAX(12*(D$4-1),RentRoll!$R$10))+RentRoll!$L$10*MAX(0,12*D$4-MAX(12*(D$4-1),IF(RentRoll!$K$10="",99999,RentRoll!$K$10),RentRoll!$R$10)))/12</f>
        <v>25200</v>
      </c>
      <c r="E39" s="71" t="n">
        <f aca="false">RentRoll!$H$10*RentRoll!$P$10*(1+IF(RentRoll!$I$10="",RentGrowth+$B$34,RentRoll!$I$10))^(E$4-1)*(MAX(0,MIN(12*E$4,IF(RentRoll!$K$10="",99999,RentRoll!$K$10))-MAX(12*(E$4-1),RentRoll!$R$10))+RentRoll!$L$10*MAX(0,12*E$4-MAX(12*(E$4-1),IF(RentRoll!$K$10="",99999,RentRoll!$K$10),RentRoll!$R$10)))/12</f>
        <v>25956</v>
      </c>
      <c r="F39" s="71" t="n">
        <f aca="false">RentRoll!$H$10*RentRoll!$P$10*(1+IF(RentRoll!$I$10="",RentGrowth+$B$34,RentRoll!$I$10))^(F$4-1)*(MAX(0,MIN(12*F$4,IF(RentRoll!$K$10="",99999,RentRoll!$K$10))-MAX(12*(F$4-1),RentRoll!$R$10))+RentRoll!$L$10*MAX(0,12*F$4-MAX(12*(F$4-1),IF(RentRoll!$K$10="",99999,RentRoll!$K$10),RentRoll!$R$10)))/12</f>
        <v>26734.68</v>
      </c>
      <c r="G39" s="71" t="n">
        <f aca="false">RentRoll!$H$10*RentRoll!$P$10*(1+IF(RentRoll!$I$10="",RentGrowth+$B$34,RentRoll!$I$10))^(G$4-1)*(MAX(0,MIN(12*G$4,IF(RentRoll!$K$10="",99999,RentRoll!$K$10))-MAX(12*(G$4-1),RentRoll!$R$10))+RentRoll!$L$10*MAX(0,12*G$4-MAX(12*(G$4-1),IF(RentRoll!$K$10="",99999,RentRoll!$K$10),RentRoll!$R$10)))/12</f>
        <v>27536.7204</v>
      </c>
      <c r="H39" s="71" t="n">
        <f aca="false">RentRoll!$H$10*RentRoll!$P$10*(1+IF(RentRoll!$I$10="",RentGrowth+$B$34,RentRoll!$I$10))^(H$4-1)*(MAX(0,MIN(12*H$4,IF(RentRoll!$K$10="",99999,RentRoll!$K$10))-MAX(12*(H$4-1),RentRoll!$R$10))+RentRoll!$L$10*MAX(0,12*H$4-MAX(12*(H$4-1),IF(RentRoll!$K$10="",99999,RentRoll!$K$10),RentRoll!$R$10)))/12</f>
        <v>28362.822012</v>
      </c>
      <c r="I39" s="71" t="n">
        <f aca="false">RentRoll!$H$10*RentRoll!$P$10*(1+IF(RentRoll!$I$10="",RentGrowth+$B$34,RentRoll!$I$10))^(I$4-1)*(MAX(0,MIN(12*I$4,IF(RentRoll!$K$10="",99999,RentRoll!$K$10))-MAX(12*(I$4-1),RentRoll!$R$10))+RentRoll!$L$10*MAX(0,12*I$4-MAX(12*(I$4-1),IF(RentRoll!$K$10="",99999,RentRoll!$K$10),RentRoll!$R$10)))/12</f>
        <v>29213.70667236</v>
      </c>
      <c r="J39" s="71" t="n">
        <f aca="false">RentRoll!$H$10*RentRoll!$P$10*(1+IF(RentRoll!$I$10="",RentGrowth+$B$34,RentRoll!$I$10))^(J$4-1)*(MAX(0,MIN(12*J$4,IF(RentRoll!$K$10="",99999,RentRoll!$K$10))-MAX(12*(J$4-1),RentRoll!$R$10))+RentRoll!$L$10*MAX(0,12*J$4-MAX(12*(J$4-1),IF(RentRoll!$K$10="",99999,RentRoll!$K$10),RentRoll!$R$10)))/12</f>
        <v>30090.1178725308</v>
      </c>
      <c r="K39" s="71" t="n">
        <f aca="false">RentRoll!$H$10*RentRoll!$P$10*(1+IF(RentRoll!$I$10="",RentGrowth+$B$34,RentRoll!$I$10))^(K$4-1)*(MAX(0,MIN(12*K$4,IF(RentRoll!$K$10="",99999,RentRoll!$K$10))-MAX(12*(K$4-1),RentRoll!$R$10))+RentRoll!$L$10*MAX(0,12*K$4-MAX(12*(K$4-1),IF(RentRoll!$K$10="",99999,RentRoll!$K$10),RentRoll!$R$10)))/12</f>
        <v>30992.8214087067</v>
      </c>
      <c r="L39" s="71" t="n">
        <f aca="false">RentRoll!$H$10*RentRoll!$P$10*(1+IF(RentRoll!$I$10="",RentGrowth+$B$34,RentRoll!$I$10))^(L$4-1)*(MAX(0,MIN(12*L$4,IF(RentRoll!$K$10="",99999,RentRoll!$K$10))-MAX(12*(L$4-1),RentRoll!$R$10))+RentRoll!$L$10*MAX(0,12*L$4-MAX(12*(L$4-1),IF(RentRoll!$K$10="",99999,RentRoll!$K$10),RentRoll!$R$10)))/12</f>
        <v>31922.6060509679</v>
      </c>
      <c r="M39" s="71" t="n">
        <f aca="false">RentRoll!$H$10*RentRoll!$P$10*(1+IF(RentRoll!$I$10="",RentGrowth+$B$34,RentRoll!$I$10))^(M$4-1)*(MAX(0,MIN(12*M$4,IF(RentRoll!$K$10="",99999,RentRoll!$K$10))-MAX(12*(M$4-1),RentRoll!$R$10))+RentRoll!$L$10*MAX(0,12*M$4-MAX(12*(M$4-1),IF(RentRoll!$K$10="",99999,RentRoll!$K$10),RentRoll!$R$10)))/12</f>
        <v>32880.284232497</v>
      </c>
      <c r="N39" s="71" t="n">
        <f aca="false">RentRoll!$H$10*RentRoll!$P$10*(1+IF(RentRoll!$I$10="",RentGrowth+$B$34,RentRoll!$I$10))^(N$4-1)*(MAX(0,MIN(12*N$4,IF(RentRoll!$K$10="",99999,RentRoll!$K$10))-MAX(12*(N$4-1),RentRoll!$R$10))+RentRoll!$L$10*MAX(0,12*N$4-MAX(12*(N$4-1),IF(RentRoll!$K$10="",99999,RentRoll!$K$10),RentRoll!$R$10)))/12</f>
        <v>33866.6927594719</v>
      </c>
    </row>
    <row r="40" customFormat="false" ht="15" hidden="false" customHeight="false" outlineLevel="0" collapsed="false">
      <c r="A40" s="91" t="str">
        <f aca="false">RentRoll!B11</f>
        <v>CDL driver training</v>
      </c>
      <c r="D40" s="71" t="n">
        <f aca="false">RentRoll!$H$11*RentRoll!$P$11*(1+IF(RentRoll!$I$11="",RentGrowth+$B$34,RentRoll!$I$11))^(D$4-1)*(MAX(0,MIN(12*D$4,IF(RentRoll!$K$11="",99999,RentRoll!$K$11))-MAX(12*(D$4-1),RentRoll!$R$11))+RentRoll!$L$11*MAX(0,12*D$4-MAX(12*(D$4-1),IF(RentRoll!$K$11="",99999,RentRoll!$K$11),RentRoll!$R$11)))/12</f>
        <v>18000</v>
      </c>
      <c r="E40" s="71" t="n">
        <f aca="false">RentRoll!$H$11*RentRoll!$P$11*(1+IF(RentRoll!$I$11="",RentGrowth+$B$34,RentRoll!$I$11))^(E$4-1)*(MAX(0,MIN(12*E$4,IF(RentRoll!$K$11="",99999,RentRoll!$K$11))-MAX(12*(E$4-1),RentRoll!$R$11))+RentRoll!$L$11*MAX(0,12*E$4-MAX(12*(E$4-1),IF(RentRoll!$K$11="",99999,RentRoll!$K$11),RentRoll!$R$11)))/12</f>
        <v>18540</v>
      </c>
      <c r="F40" s="71" t="n">
        <f aca="false">RentRoll!$H$11*RentRoll!$P$11*(1+IF(RentRoll!$I$11="",RentGrowth+$B$34,RentRoll!$I$11))^(F$4-1)*(MAX(0,MIN(12*F$4,IF(RentRoll!$K$11="",99999,RentRoll!$K$11))-MAX(12*(F$4-1),RentRoll!$R$11))+RentRoll!$L$11*MAX(0,12*F$4-MAX(12*(F$4-1),IF(RentRoll!$K$11="",99999,RentRoll!$K$11),RentRoll!$R$11)))/12</f>
        <v>19096.2</v>
      </c>
      <c r="G40" s="71" t="n">
        <f aca="false">RentRoll!$H$11*RentRoll!$P$11*(1+IF(RentRoll!$I$11="",RentGrowth+$B$34,RentRoll!$I$11))^(G$4-1)*(MAX(0,MIN(12*G$4,IF(RentRoll!$K$11="",99999,RentRoll!$K$11))-MAX(12*(G$4-1),RentRoll!$R$11))+RentRoll!$L$11*MAX(0,12*G$4-MAX(12*(G$4-1),IF(RentRoll!$K$11="",99999,RentRoll!$K$11),RentRoll!$R$11)))/12</f>
        <v>19669.086</v>
      </c>
      <c r="H40" s="71" t="n">
        <f aca="false">RentRoll!$H$11*RentRoll!$P$11*(1+IF(RentRoll!$I$11="",RentGrowth+$B$34,RentRoll!$I$11))^(H$4-1)*(MAX(0,MIN(12*H$4,IF(RentRoll!$K$11="",99999,RentRoll!$K$11))-MAX(12*(H$4-1),RentRoll!$R$11))+RentRoll!$L$11*MAX(0,12*H$4-MAX(12*(H$4-1),IF(RentRoll!$K$11="",99999,RentRoll!$K$11),RentRoll!$R$11)))/12</f>
        <v>20259.15858</v>
      </c>
      <c r="I40" s="71" t="n">
        <f aca="false">RentRoll!$H$11*RentRoll!$P$11*(1+IF(RentRoll!$I$11="",RentGrowth+$B$34,RentRoll!$I$11))^(I$4-1)*(MAX(0,MIN(12*I$4,IF(RentRoll!$K$11="",99999,RentRoll!$K$11))-MAX(12*(I$4-1),RentRoll!$R$11))+RentRoll!$L$11*MAX(0,12*I$4-MAX(12*(I$4-1),IF(RentRoll!$K$11="",99999,RentRoll!$K$11),RentRoll!$R$11)))/12</f>
        <v>20866.9333374</v>
      </c>
      <c r="J40" s="71" t="n">
        <f aca="false">RentRoll!$H$11*RentRoll!$P$11*(1+IF(RentRoll!$I$11="",RentGrowth+$B$34,RentRoll!$I$11))^(J$4-1)*(MAX(0,MIN(12*J$4,IF(RentRoll!$K$11="",99999,RentRoll!$K$11))-MAX(12*(J$4-1),RentRoll!$R$11))+RentRoll!$L$11*MAX(0,12*J$4-MAX(12*(J$4-1),IF(RentRoll!$K$11="",99999,RentRoll!$K$11),RentRoll!$R$11)))/12</f>
        <v>21492.941337522</v>
      </c>
      <c r="K40" s="71" t="n">
        <f aca="false">RentRoll!$H$11*RentRoll!$P$11*(1+IF(RentRoll!$I$11="",RentGrowth+$B$34,RentRoll!$I$11))^(K$4-1)*(MAX(0,MIN(12*K$4,IF(RentRoll!$K$11="",99999,RentRoll!$K$11))-MAX(12*(K$4-1),RentRoll!$R$11))+RentRoll!$L$11*MAX(0,12*K$4-MAX(12*(K$4-1),IF(RentRoll!$K$11="",99999,RentRoll!$K$11),RentRoll!$R$11)))/12</f>
        <v>22137.7295776477</v>
      </c>
      <c r="L40" s="71" t="n">
        <f aca="false">RentRoll!$H$11*RentRoll!$P$11*(1+IF(RentRoll!$I$11="",RentGrowth+$B$34,RentRoll!$I$11))^(L$4-1)*(MAX(0,MIN(12*L$4,IF(RentRoll!$K$11="",99999,RentRoll!$K$11))-MAX(12*(L$4-1),RentRoll!$R$11))+RentRoll!$L$11*MAX(0,12*L$4-MAX(12*(L$4-1),IF(RentRoll!$K$11="",99999,RentRoll!$K$11),RentRoll!$R$11)))/12</f>
        <v>22801.8614649771</v>
      </c>
      <c r="M40" s="71" t="n">
        <f aca="false">RentRoll!$H$11*RentRoll!$P$11*(1+IF(RentRoll!$I$11="",RentGrowth+$B$34,RentRoll!$I$11))^(M$4-1)*(MAX(0,MIN(12*M$4,IF(RentRoll!$K$11="",99999,RentRoll!$K$11))-MAX(12*(M$4-1),RentRoll!$R$11))+RentRoll!$L$11*MAX(0,12*M$4-MAX(12*(M$4-1),IF(RentRoll!$K$11="",99999,RentRoll!$K$11),RentRoll!$R$11)))/12</f>
        <v>23485.9173089264</v>
      </c>
      <c r="N40" s="71" t="n">
        <f aca="false">RentRoll!$H$11*RentRoll!$P$11*(1+IF(RentRoll!$I$11="",RentGrowth+$B$34,RentRoll!$I$11))^(N$4-1)*(MAX(0,MIN(12*N$4,IF(RentRoll!$K$11="",99999,RentRoll!$K$11))-MAX(12*(N$4-1),RentRoll!$R$11))+RentRoll!$L$11*MAX(0,12*N$4-MAX(12*(N$4-1),IF(RentRoll!$K$11="",99999,RentRoll!$K$11),RentRoll!$R$11)))/12</f>
        <v>24190.4948281942</v>
      </c>
    </row>
    <row r="41" customFormat="false" ht="15" hidden="false" customHeight="false" outlineLevel="0" collapsed="false">
      <c r="A41" s="91" t="str">
        <f aca="false">RentRoll!B12</f>
        <v>Alamo Fireworks</v>
      </c>
      <c r="D41" s="71" t="n">
        <f aca="false">RentRoll!$H$12*RentRoll!$P$12*(1+IF(RentRoll!$I$12="",RentGrowth+$B$34,RentRoll!$I$12))^(D$4-1)*(MAX(0,MIN(12*D$4,IF(RentRoll!$K$12="",99999,RentRoll!$K$12))-MAX(12*(D$4-1),RentRoll!$R$12))+RentRoll!$L$12*MAX(0,12*D$4-MAX(12*(D$4-1),IF(RentRoll!$K$12="",99999,RentRoll!$K$12),RentRoll!$R$12)))/12</f>
        <v>8000</v>
      </c>
      <c r="E41" s="71" t="n">
        <f aca="false">RentRoll!$H$12*RentRoll!$P$12*(1+IF(RentRoll!$I$12="",RentGrowth+$B$34,RentRoll!$I$12))^(E$4-1)*(MAX(0,MIN(12*E$4,IF(RentRoll!$K$12="",99999,RentRoll!$K$12))-MAX(12*(E$4-1),RentRoll!$R$12))+RentRoll!$L$12*MAX(0,12*E$4-MAX(12*(E$4-1),IF(RentRoll!$K$12="",99999,RentRoll!$K$12),RentRoll!$R$12)))/12</f>
        <v>8240</v>
      </c>
      <c r="F41" s="71" t="n">
        <f aca="false">RentRoll!$H$12*RentRoll!$P$12*(1+IF(RentRoll!$I$12="",RentGrowth+$B$34,RentRoll!$I$12))^(F$4-1)*(MAX(0,MIN(12*F$4,IF(RentRoll!$K$12="",99999,RentRoll!$K$12))-MAX(12*(F$4-1),RentRoll!$R$12))+RentRoll!$L$12*MAX(0,12*F$4-MAX(12*(F$4-1),IF(RentRoll!$K$12="",99999,RentRoll!$K$12),RentRoll!$R$12)))/12</f>
        <v>8487.2</v>
      </c>
      <c r="G41" s="71" t="n">
        <f aca="false">RentRoll!$H$12*RentRoll!$P$12*(1+IF(RentRoll!$I$12="",RentGrowth+$B$34,RentRoll!$I$12))^(G$4-1)*(MAX(0,MIN(12*G$4,IF(RentRoll!$K$12="",99999,RentRoll!$K$12))-MAX(12*(G$4-1),RentRoll!$R$12))+RentRoll!$L$12*MAX(0,12*G$4-MAX(12*(G$4-1),IF(RentRoll!$K$12="",99999,RentRoll!$K$12),RentRoll!$R$12)))/12</f>
        <v>8741.816</v>
      </c>
      <c r="H41" s="71" t="n">
        <f aca="false">RentRoll!$H$12*RentRoll!$P$12*(1+IF(RentRoll!$I$12="",RentGrowth+$B$34,RentRoll!$I$12))^(H$4-1)*(MAX(0,MIN(12*H$4,IF(RentRoll!$K$12="",99999,RentRoll!$K$12))-MAX(12*(H$4-1),RentRoll!$R$12))+RentRoll!$L$12*MAX(0,12*H$4-MAX(12*(H$4-1),IF(RentRoll!$K$12="",99999,RentRoll!$K$12),RentRoll!$R$12)))/12</f>
        <v>9004.07048</v>
      </c>
      <c r="I41" s="71" t="n">
        <f aca="false">RentRoll!$H$12*RentRoll!$P$12*(1+IF(RentRoll!$I$12="",RentGrowth+$B$34,RentRoll!$I$12))^(I$4-1)*(MAX(0,MIN(12*I$4,IF(RentRoll!$K$12="",99999,RentRoll!$K$12))-MAX(12*(I$4-1),RentRoll!$R$12))+RentRoll!$L$12*MAX(0,12*I$4-MAX(12*(I$4-1),IF(RentRoll!$K$12="",99999,RentRoll!$K$12),RentRoll!$R$12)))/12</f>
        <v>9274.1925944</v>
      </c>
      <c r="J41" s="71" t="n">
        <f aca="false">RentRoll!$H$12*RentRoll!$P$12*(1+IF(RentRoll!$I$12="",RentGrowth+$B$34,RentRoll!$I$12))^(J$4-1)*(MAX(0,MIN(12*J$4,IF(RentRoll!$K$12="",99999,RentRoll!$K$12))-MAX(12*(J$4-1),RentRoll!$R$12))+RentRoll!$L$12*MAX(0,12*J$4-MAX(12*(J$4-1),IF(RentRoll!$K$12="",99999,RentRoll!$K$12),RentRoll!$R$12)))/12</f>
        <v>9552.418372232</v>
      </c>
      <c r="K41" s="71" t="n">
        <f aca="false">RentRoll!$H$12*RentRoll!$P$12*(1+IF(RentRoll!$I$12="",RentGrowth+$B$34,RentRoll!$I$12))^(K$4-1)*(MAX(0,MIN(12*K$4,IF(RentRoll!$K$12="",99999,RentRoll!$K$12))-MAX(12*(K$4-1),RentRoll!$R$12))+RentRoll!$L$12*MAX(0,12*K$4-MAX(12*(K$4-1),IF(RentRoll!$K$12="",99999,RentRoll!$K$12),RentRoll!$R$12)))/12</f>
        <v>9838.99092339896</v>
      </c>
      <c r="L41" s="71" t="n">
        <f aca="false">RentRoll!$H$12*RentRoll!$P$12*(1+IF(RentRoll!$I$12="",RentGrowth+$B$34,RentRoll!$I$12))^(L$4-1)*(MAX(0,MIN(12*L$4,IF(RentRoll!$K$12="",99999,RentRoll!$K$12))-MAX(12*(L$4-1),RentRoll!$R$12))+RentRoll!$L$12*MAX(0,12*L$4-MAX(12*(L$4-1),IF(RentRoll!$K$12="",99999,RentRoll!$K$12),RentRoll!$R$12)))/12</f>
        <v>10134.1606511009</v>
      </c>
      <c r="M41" s="71" t="n">
        <f aca="false">RentRoll!$H$12*RentRoll!$P$12*(1+IF(RentRoll!$I$12="",RentGrowth+$B$34,RentRoll!$I$12))^(M$4-1)*(MAX(0,MIN(12*M$4,IF(RentRoll!$K$12="",99999,RentRoll!$K$12))-MAX(12*(M$4-1),RentRoll!$R$12))+RentRoll!$L$12*MAX(0,12*M$4-MAX(12*(M$4-1),IF(RentRoll!$K$12="",99999,RentRoll!$K$12),RentRoll!$R$12)))/12</f>
        <v>10438.185470634</v>
      </c>
      <c r="N41" s="71" t="n">
        <f aca="false">RentRoll!$H$12*RentRoll!$P$12*(1+IF(RentRoll!$I$12="",RentGrowth+$B$34,RentRoll!$I$12))^(N$4-1)*(MAX(0,MIN(12*N$4,IF(RentRoll!$K$12="",99999,RentRoll!$K$12))-MAX(12*(N$4-1),RentRoll!$R$12))+RentRoll!$L$12*MAX(0,12*N$4-MAX(12*(N$4-1),IF(RentRoll!$K$12="",99999,RentRoll!$K$12),RentRoll!$R$12)))/12</f>
        <v>10751.331034753</v>
      </c>
    </row>
    <row r="42" customFormat="false" ht="15" hidden="false" customHeight="false" outlineLevel="0" collapsed="false">
      <c r="A42" s="91" t="str">
        <f aca="false">RentRoll!B13</f>
        <v>Prime expansion (+1 ac)</v>
      </c>
      <c r="D42" s="71" t="n">
        <f aca="false">RentRoll!$H$13*RentRoll!$P$13*(1+IF(RentRoll!$I$13="",RentGrowth+$B$34,RentRoll!$I$13))^(D$4-1)*(MAX(0,MIN(12*D$4,IF(RentRoll!$K$13="",99999,RentRoll!$K$13))-MAX(12*(D$4-1),RentRoll!$R$13))+RentRoll!$L$13*MAX(0,12*D$4-MAX(12*(D$4-1),IF(RentRoll!$K$13="",99999,RentRoll!$K$13),RentRoll!$R$13)))/12</f>
        <v>31500</v>
      </c>
      <c r="E42" s="71" t="n">
        <f aca="false">RentRoll!$H$13*RentRoll!$P$13*(1+IF(RentRoll!$I$13="",RentGrowth+$B$34,RentRoll!$I$13))^(E$4-1)*(MAX(0,MIN(12*E$4,IF(RentRoll!$K$13="",99999,RentRoll!$K$13))-MAX(12*(E$4-1),RentRoll!$R$13))+RentRoll!$L$13*MAX(0,12*E$4-MAX(12*(E$4-1),IF(RentRoll!$K$13="",99999,RentRoll!$K$13),RentRoll!$R$13)))/12</f>
        <v>43260</v>
      </c>
      <c r="F42" s="71" t="n">
        <f aca="false">RentRoll!$H$13*RentRoll!$P$13*(1+IF(RentRoll!$I$13="",RentGrowth+$B$34,RentRoll!$I$13))^(F$4-1)*(MAX(0,MIN(12*F$4,IF(RentRoll!$K$13="",99999,RentRoll!$K$13))-MAX(12*(F$4-1),RentRoll!$R$13))+RentRoll!$L$13*MAX(0,12*F$4-MAX(12*(F$4-1),IF(RentRoll!$K$13="",99999,RentRoll!$K$13),RentRoll!$R$13)))/12</f>
        <v>44557.8</v>
      </c>
      <c r="G42" s="71" t="n">
        <f aca="false">RentRoll!$H$13*RentRoll!$P$13*(1+IF(RentRoll!$I$13="",RentGrowth+$B$34,RentRoll!$I$13))^(G$4-1)*(MAX(0,MIN(12*G$4,IF(RentRoll!$K$13="",99999,RentRoll!$K$13))-MAX(12*(G$4-1),RentRoll!$R$13))+RentRoll!$L$13*MAX(0,12*G$4-MAX(12*(G$4-1),IF(RentRoll!$K$13="",99999,RentRoll!$K$13),RentRoll!$R$13)))/12</f>
        <v>45894.534</v>
      </c>
      <c r="H42" s="71" t="n">
        <f aca="false">RentRoll!$H$13*RentRoll!$P$13*(1+IF(RentRoll!$I$13="",RentGrowth+$B$34,RentRoll!$I$13))^(H$4-1)*(MAX(0,MIN(12*H$4,IF(RentRoll!$K$13="",99999,RentRoll!$K$13))-MAX(12*(H$4-1),RentRoll!$R$13))+RentRoll!$L$13*MAX(0,12*H$4-MAX(12*(H$4-1),IF(RentRoll!$K$13="",99999,RentRoll!$K$13),RentRoll!$R$13)))/12</f>
        <v>47271.37002</v>
      </c>
      <c r="I42" s="71" t="n">
        <f aca="false">RentRoll!$H$13*RentRoll!$P$13*(1+IF(RentRoll!$I$13="",RentGrowth+$B$34,RentRoll!$I$13))^(I$4-1)*(MAX(0,MIN(12*I$4,IF(RentRoll!$K$13="",99999,RentRoll!$K$13))-MAX(12*(I$4-1),RentRoll!$R$13))+RentRoll!$L$13*MAX(0,12*I$4-MAX(12*(I$4-1),IF(RentRoll!$K$13="",99999,RentRoll!$K$13),RentRoll!$R$13)))/12</f>
        <v>48689.5111206</v>
      </c>
      <c r="J42" s="71" t="n">
        <f aca="false">RentRoll!$H$13*RentRoll!$P$13*(1+IF(RentRoll!$I$13="",RentGrowth+$B$34,RentRoll!$I$13))^(J$4-1)*(MAX(0,MIN(12*J$4,IF(RentRoll!$K$13="",99999,RentRoll!$K$13))-MAX(12*(J$4-1),RentRoll!$R$13))+RentRoll!$L$13*MAX(0,12*J$4-MAX(12*(J$4-1),IF(RentRoll!$K$13="",99999,RentRoll!$K$13),RentRoll!$R$13)))/12</f>
        <v>50150.196454218</v>
      </c>
      <c r="K42" s="71" t="n">
        <f aca="false">RentRoll!$H$13*RentRoll!$P$13*(1+IF(RentRoll!$I$13="",RentGrowth+$B$34,RentRoll!$I$13))^(K$4-1)*(MAX(0,MIN(12*K$4,IF(RentRoll!$K$13="",99999,RentRoll!$K$13))-MAX(12*(K$4-1),RentRoll!$R$13))+RentRoll!$L$13*MAX(0,12*K$4-MAX(12*(K$4-1),IF(RentRoll!$K$13="",99999,RentRoll!$K$13),RentRoll!$R$13)))/12</f>
        <v>51654.7023478446</v>
      </c>
      <c r="L42" s="71" t="n">
        <f aca="false">RentRoll!$H$13*RentRoll!$P$13*(1+IF(RentRoll!$I$13="",RentGrowth+$B$34,RentRoll!$I$13))^(L$4-1)*(MAX(0,MIN(12*L$4,IF(RentRoll!$K$13="",99999,RentRoll!$K$13))-MAX(12*(L$4-1),RentRoll!$R$13))+RentRoll!$L$13*MAX(0,12*L$4-MAX(12*(L$4-1),IF(RentRoll!$K$13="",99999,RentRoll!$K$13),RentRoll!$R$13)))/12</f>
        <v>53204.3434182799</v>
      </c>
      <c r="M42" s="71" t="n">
        <f aca="false">RentRoll!$H$13*RentRoll!$P$13*(1+IF(RentRoll!$I$13="",RentGrowth+$B$34,RentRoll!$I$13))^(M$4-1)*(MAX(0,MIN(12*M$4,IF(RentRoll!$K$13="",99999,RentRoll!$K$13))-MAX(12*(M$4-1),RentRoll!$R$13))+RentRoll!$L$13*MAX(0,12*M$4-MAX(12*(M$4-1),IF(RentRoll!$K$13="",99999,RentRoll!$K$13),RentRoll!$R$13)))/12</f>
        <v>54800.4737208283</v>
      </c>
      <c r="N42" s="71" t="n">
        <f aca="false">RentRoll!$H$13*RentRoll!$P$13*(1+IF(RentRoll!$I$13="",RentGrowth+$B$34,RentRoll!$I$13))^(N$4-1)*(MAX(0,MIN(12*N$4,IF(RentRoll!$K$13="",99999,RentRoll!$K$13))-MAX(12*(N$4-1),RentRoll!$R$13))+RentRoll!$L$13*MAX(0,12*N$4-MAX(12*(N$4-1),IF(RentRoll!$K$13="",99999,RentRoll!$K$13),RentRoll!$R$13)))/12</f>
        <v>56444.4879324531</v>
      </c>
    </row>
    <row r="43" customFormat="false" ht="15" hidden="false" customHeight="false" outlineLevel="0" collapsed="false">
      <c r="A43" s="91" t="str">
        <f aca="false">RentRoll!B14</f>
        <v>Straight 6 expansion (~10 spots)</v>
      </c>
      <c r="D43" s="71" t="n">
        <f aca="false">RentRoll!$H$14*RentRoll!$P$14*(1+IF(RentRoll!$I$14="",RentGrowth+$B$34,RentRoll!$I$14))^(D$4-1)*(MAX(0,MIN(12*D$4,IF(RentRoll!$K$14="",99999,RentRoll!$K$14))-MAX(12*(D$4-1),RentRoll!$R$14))+RentRoll!$L$14*MAX(0,12*D$4-MAX(12*(D$4-1),IF(RentRoll!$K$14="",99999,RentRoll!$K$14),RentRoll!$R$14)))/12</f>
        <v>9000</v>
      </c>
      <c r="E43" s="71" t="n">
        <f aca="false">RentRoll!$H$14*RentRoll!$P$14*(1+IF(RentRoll!$I$14="",RentGrowth+$B$34,RentRoll!$I$14))^(E$4-1)*(MAX(0,MIN(12*E$4,IF(RentRoll!$K$14="",99999,RentRoll!$K$14))-MAX(12*(E$4-1),RentRoll!$R$14))+RentRoll!$L$14*MAX(0,12*E$4-MAX(12*(E$4-1),IF(RentRoll!$K$14="",99999,RentRoll!$K$14),RentRoll!$R$14)))/12</f>
        <v>12360</v>
      </c>
      <c r="F43" s="71" t="n">
        <f aca="false">RentRoll!$H$14*RentRoll!$P$14*(1+IF(RentRoll!$I$14="",RentGrowth+$B$34,RentRoll!$I$14))^(F$4-1)*(MAX(0,MIN(12*F$4,IF(RentRoll!$K$14="",99999,RentRoll!$K$14))-MAX(12*(F$4-1),RentRoll!$R$14))+RentRoll!$L$14*MAX(0,12*F$4-MAX(12*(F$4-1),IF(RentRoll!$K$14="",99999,RentRoll!$K$14),RentRoll!$R$14)))/12</f>
        <v>12730.8</v>
      </c>
      <c r="G43" s="71" t="n">
        <f aca="false">RentRoll!$H$14*RentRoll!$P$14*(1+IF(RentRoll!$I$14="",RentGrowth+$B$34,RentRoll!$I$14))^(G$4-1)*(MAX(0,MIN(12*G$4,IF(RentRoll!$K$14="",99999,RentRoll!$K$14))-MAX(12*(G$4-1),RentRoll!$R$14))+RentRoll!$L$14*MAX(0,12*G$4-MAX(12*(G$4-1),IF(RentRoll!$K$14="",99999,RentRoll!$K$14),RentRoll!$R$14)))/12</f>
        <v>13112.724</v>
      </c>
      <c r="H43" s="71" t="n">
        <f aca="false">RentRoll!$H$14*RentRoll!$P$14*(1+IF(RentRoll!$I$14="",RentGrowth+$B$34,RentRoll!$I$14))^(H$4-1)*(MAX(0,MIN(12*H$4,IF(RentRoll!$K$14="",99999,RentRoll!$K$14))-MAX(12*(H$4-1),RentRoll!$R$14))+RentRoll!$L$14*MAX(0,12*H$4-MAX(12*(H$4-1),IF(RentRoll!$K$14="",99999,RentRoll!$K$14),RentRoll!$R$14)))/12</f>
        <v>13506.10572</v>
      </c>
      <c r="I43" s="71" t="n">
        <f aca="false">RentRoll!$H$14*RentRoll!$P$14*(1+IF(RentRoll!$I$14="",RentGrowth+$B$34,RentRoll!$I$14))^(I$4-1)*(MAX(0,MIN(12*I$4,IF(RentRoll!$K$14="",99999,RentRoll!$K$14))-MAX(12*(I$4-1),RentRoll!$R$14))+RentRoll!$L$14*MAX(0,12*I$4-MAX(12*(I$4-1),IF(RentRoll!$K$14="",99999,RentRoll!$K$14),RentRoll!$R$14)))/12</f>
        <v>13911.2888916</v>
      </c>
      <c r="J43" s="71" t="n">
        <f aca="false">RentRoll!$H$14*RentRoll!$P$14*(1+IF(RentRoll!$I$14="",RentGrowth+$B$34,RentRoll!$I$14))^(J$4-1)*(MAX(0,MIN(12*J$4,IF(RentRoll!$K$14="",99999,RentRoll!$K$14))-MAX(12*(J$4-1),RentRoll!$R$14))+RentRoll!$L$14*MAX(0,12*J$4-MAX(12*(J$4-1),IF(RentRoll!$K$14="",99999,RentRoll!$K$14),RentRoll!$R$14)))/12</f>
        <v>14328.627558348</v>
      </c>
      <c r="K43" s="71" t="n">
        <f aca="false">RentRoll!$H$14*RentRoll!$P$14*(1+IF(RentRoll!$I$14="",RentGrowth+$B$34,RentRoll!$I$14))^(K$4-1)*(MAX(0,MIN(12*K$4,IF(RentRoll!$K$14="",99999,RentRoll!$K$14))-MAX(12*(K$4-1),RentRoll!$R$14))+RentRoll!$L$14*MAX(0,12*K$4-MAX(12*(K$4-1),IF(RentRoll!$K$14="",99999,RentRoll!$K$14),RentRoll!$R$14)))/12</f>
        <v>14758.4863850984</v>
      </c>
      <c r="L43" s="71" t="n">
        <f aca="false">RentRoll!$H$14*RentRoll!$P$14*(1+IF(RentRoll!$I$14="",RentGrowth+$B$34,RentRoll!$I$14))^(L$4-1)*(MAX(0,MIN(12*L$4,IF(RentRoll!$K$14="",99999,RentRoll!$K$14))-MAX(12*(L$4-1),RentRoll!$R$14))+RentRoll!$L$14*MAX(0,12*L$4-MAX(12*(L$4-1),IF(RentRoll!$K$14="",99999,RentRoll!$K$14),RentRoll!$R$14)))/12</f>
        <v>15201.2409766514</v>
      </c>
      <c r="M43" s="71" t="n">
        <f aca="false">RentRoll!$H$14*RentRoll!$P$14*(1+IF(RentRoll!$I$14="",RentGrowth+$B$34,RentRoll!$I$14))^(M$4-1)*(MAX(0,MIN(12*M$4,IF(RentRoll!$K$14="",99999,RentRoll!$K$14))-MAX(12*(M$4-1),RentRoll!$R$14))+RentRoll!$L$14*MAX(0,12*M$4-MAX(12*(M$4-1),IF(RentRoll!$K$14="",99999,RentRoll!$K$14),RentRoll!$R$14)))/12</f>
        <v>15657.2782059509</v>
      </c>
      <c r="N43" s="71" t="n">
        <f aca="false">RentRoll!$H$14*RentRoll!$P$14*(1+IF(RentRoll!$I$14="",RentGrowth+$B$34,RentRoll!$I$14))^(N$4-1)*(MAX(0,MIN(12*N$4,IF(RentRoll!$K$14="",99999,RentRoll!$K$14))-MAX(12*(N$4-1),RentRoll!$R$14))+RentRoll!$L$14*MAX(0,12*N$4-MAX(12*(N$4-1),IF(RentRoll!$K$14="",99999,RentRoll!$K$14),RentRoll!$R$14)))/12</f>
        <v>16126.9965521295</v>
      </c>
    </row>
    <row r="44" customFormat="false" ht="15" hidden="false" customHeight="false" outlineLevel="0" collapsed="false">
      <c r="A44" s="91" t="str">
        <f aca="false">RentRoll!B15</f>
        <v>Large tenant (~5.75 ac, in county)</v>
      </c>
      <c r="D44" s="71" t="n">
        <f aca="false">RentRoll!$H$15*RentRoll!$P$15*(1+IF(RentRoll!$I$15="",RentGrowth+$B$34,RentRoll!$I$15))^(D$4-1)*(MAX(0,MIN(12*D$4,IF(RentRoll!$K$15="",99999,RentRoll!$K$15))-MAX(12*(D$4-1),RentRoll!$R$15))+RentRoll!$L$15*MAX(0,12*D$4-MAX(12*(D$4-1),IF(RentRoll!$K$15="",99999,RentRoll!$K$15),RentRoll!$R$15)))/12</f>
        <v>0</v>
      </c>
      <c r="E44" s="71" t="n">
        <f aca="false">RentRoll!$H$15*RentRoll!$P$15*(1+IF(RentRoll!$I$15="",RentGrowth+$B$34,RentRoll!$I$15))^(E$4-1)*(MAX(0,MIN(12*E$4,IF(RentRoll!$K$15="",99999,RentRoll!$K$15))-MAX(12*(E$4-1),RentRoll!$R$15))+RentRoll!$L$15*MAX(0,12*E$4-MAX(12*(E$4-1),IF(RentRoll!$K$15="",99999,RentRoll!$K$15),RentRoll!$R$15)))/12</f>
        <v>0</v>
      </c>
      <c r="F44" s="71" t="n">
        <f aca="false">RentRoll!$H$15*RentRoll!$P$15*(1+IF(RentRoll!$I$15="",RentGrowth+$B$34,RentRoll!$I$15))^(F$4-1)*(MAX(0,MIN(12*F$4,IF(RentRoll!$K$15="",99999,RentRoll!$K$15))-MAX(12*(F$4-1),RentRoll!$R$15))+RentRoll!$L$15*MAX(0,12*F$4-MAX(12*(F$4-1),IF(RentRoll!$K$15="",99999,RentRoll!$K$15),RentRoll!$R$15)))/12</f>
        <v>0</v>
      </c>
      <c r="G44" s="71" t="n">
        <f aca="false">RentRoll!$H$15*RentRoll!$P$15*(1+IF(RentRoll!$I$15="",RentGrowth+$B$34,RentRoll!$I$15))^(G$4-1)*(MAX(0,MIN(12*G$4,IF(RentRoll!$K$15="",99999,RentRoll!$K$15))-MAX(12*(G$4-1),RentRoll!$R$15))+RentRoll!$L$15*MAX(0,12*G$4-MAX(12*(G$4-1),IF(RentRoll!$K$15="",99999,RentRoll!$K$15),RentRoll!$R$15)))/12</f>
        <v>0</v>
      </c>
      <c r="H44" s="71" t="n">
        <f aca="false">RentRoll!$H$15*RentRoll!$P$15*(1+IF(RentRoll!$I$15="",RentGrowth+$B$34,RentRoll!$I$15))^(H$4-1)*(MAX(0,MIN(12*H$4,IF(RentRoll!$K$15="",99999,RentRoll!$K$15))-MAX(12*(H$4-1),RentRoll!$R$15))+RentRoll!$L$15*MAX(0,12*H$4-MAX(12*(H$4-1),IF(RentRoll!$K$15="",99999,RentRoll!$K$15),RentRoll!$R$15)))/12</f>
        <v>0</v>
      </c>
      <c r="I44" s="71" t="n">
        <f aca="false">RentRoll!$H$15*RentRoll!$P$15*(1+IF(RentRoll!$I$15="",RentGrowth+$B$34,RentRoll!$I$15))^(I$4-1)*(MAX(0,MIN(12*I$4,IF(RentRoll!$K$15="",99999,RentRoll!$K$15))-MAX(12*(I$4-1),RentRoll!$R$15))+RentRoll!$L$15*MAX(0,12*I$4-MAX(12*(I$4-1),IF(RentRoll!$K$15="",99999,RentRoll!$K$15),RentRoll!$R$15)))/12</f>
        <v>0</v>
      </c>
      <c r="J44" s="71" t="n">
        <f aca="false">RentRoll!$H$15*RentRoll!$P$15*(1+IF(RentRoll!$I$15="",RentGrowth+$B$34,RentRoll!$I$15))^(J$4-1)*(MAX(0,MIN(12*J$4,IF(RentRoll!$K$15="",99999,RentRoll!$K$15))-MAX(12*(J$4-1),RentRoll!$R$15))+RentRoll!$L$15*MAX(0,12*J$4-MAX(12*(J$4-1),IF(RentRoll!$K$15="",99999,RentRoll!$K$15),RentRoll!$R$15)))/12</f>
        <v>0</v>
      </c>
      <c r="K44" s="71" t="n">
        <f aca="false">RentRoll!$H$15*RentRoll!$P$15*(1+IF(RentRoll!$I$15="",RentGrowth+$B$34,RentRoll!$I$15))^(K$4-1)*(MAX(0,MIN(12*K$4,IF(RentRoll!$K$15="",99999,RentRoll!$K$15))-MAX(12*(K$4-1),RentRoll!$R$15))+RentRoll!$L$15*MAX(0,12*K$4-MAX(12*(K$4-1),IF(RentRoll!$K$15="",99999,RentRoll!$K$15),RentRoll!$R$15)))/12</f>
        <v>0</v>
      </c>
      <c r="L44" s="71" t="n">
        <f aca="false">RentRoll!$H$15*RentRoll!$P$15*(1+IF(RentRoll!$I$15="",RentGrowth+$B$34,RentRoll!$I$15))^(L$4-1)*(MAX(0,MIN(12*L$4,IF(RentRoll!$K$15="",99999,RentRoll!$K$15))-MAX(12*(L$4-1),RentRoll!$R$15))+RentRoll!$L$15*MAX(0,12*L$4-MAX(12*(L$4-1),IF(RentRoll!$K$15="",99999,RentRoll!$K$15),RentRoll!$R$15)))/12</f>
        <v>0</v>
      </c>
      <c r="M44" s="71" t="n">
        <f aca="false">RentRoll!$H$15*RentRoll!$P$15*(1+IF(RentRoll!$I$15="",RentGrowth+$B$34,RentRoll!$I$15))^(M$4-1)*(MAX(0,MIN(12*M$4,IF(RentRoll!$K$15="",99999,RentRoll!$K$15))-MAX(12*(M$4-1),RentRoll!$R$15))+RentRoll!$L$15*MAX(0,12*M$4-MAX(12*(M$4-1),IF(RentRoll!$K$15="",99999,RentRoll!$K$15),RentRoll!$R$15)))/12</f>
        <v>0</v>
      </c>
      <c r="N44" s="71" t="n">
        <f aca="false">RentRoll!$H$15*RentRoll!$P$15*(1+IF(RentRoll!$I$15="",RentGrowth+$B$34,RentRoll!$I$15))^(N$4-1)*(MAX(0,MIN(12*N$4,IF(RentRoll!$K$15="",99999,RentRoll!$K$15))-MAX(12*(N$4-1),RentRoll!$R$15))+RentRoll!$L$15*MAX(0,12*N$4-MAX(12*(N$4-1),IF(RentRoll!$K$15="",99999,RentRoll!$K$15),RentRoll!$R$15)))/12</f>
        <v>0</v>
      </c>
    </row>
    <row r="45" customFormat="false" ht="15" hidden="false" customHeight="false" outlineLevel="0" collapsed="false">
      <c r="A45" s="79" t="s">
        <v>210</v>
      </c>
      <c r="D45" s="80" t="n">
        <f aca="false">SUM(D35:D44)</f>
        <v>457700</v>
      </c>
      <c r="E45" s="80" t="n">
        <f aca="false">SUM(E35:E44)</f>
        <v>485336</v>
      </c>
      <c r="F45" s="80" t="n">
        <f aca="false">SUM(F35:F44)</f>
        <v>490984.52</v>
      </c>
      <c r="G45" s="80" t="n">
        <f aca="false">SUM(G35:G44)</f>
        <v>505714.0556</v>
      </c>
      <c r="H45" s="80" t="n">
        <f aca="false">SUM(H35:H44)</f>
        <v>520885.477268</v>
      </c>
      <c r="I45" s="80" t="n">
        <f aca="false">SUM(I35:I44)</f>
        <v>509385.02824742</v>
      </c>
      <c r="J45" s="80" t="n">
        <f aca="false">SUM(J35:J44)</f>
        <v>524666.579094843</v>
      </c>
      <c r="K45" s="80" t="n">
        <f aca="false">SUM(K35:K44)</f>
        <v>540406.576467688</v>
      </c>
      <c r="L45" s="80" t="n">
        <f aca="false">SUM(L35:L44)</f>
        <v>556618.773761719</v>
      </c>
      <c r="M45" s="80" t="n">
        <f aca="false">SUM(M35:M44)</f>
        <v>573317.33697457</v>
      </c>
      <c r="N45" s="80" t="n">
        <f aca="false">SUM(N35:N44)</f>
        <v>590516.857083807</v>
      </c>
    </row>
    <row r="46" customFormat="false" ht="15" hidden="false" customHeight="false" outlineLevel="0" collapsed="false">
      <c r="A46" s="79" t="s">
        <v>46</v>
      </c>
      <c r="D46" s="80" t="n">
        <f aca="false">D45*(1-Vacancy)*(1-MgmtPct)+SUM(CashFlow!D24:D26)</f>
        <v>427815</v>
      </c>
      <c r="E46" s="80" t="n">
        <f aca="false">E45*(1-Vacancy)*(1-MgmtPct)+SUM(CashFlow!E24:E26)</f>
        <v>453859.2</v>
      </c>
      <c r="F46" s="80" t="n">
        <f aca="false">F45*(1-Vacancy)*(1-MgmtPct)+SUM(CashFlow!F24:F26)</f>
        <v>459008.994</v>
      </c>
      <c r="G46" s="80" t="n">
        <f aca="false">G45*(1-Vacancy)*(1-MgmtPct)+SUM(CashFlow!G24:G26)</f>
        <v>472779.26382</v>
      </c>
      <c r="H46" s="80" t="n">
        <f aca="false">H45*(1-Vacancy)*(1-MgmtPct)+SUM(CashFlow!H24:H26)</f>
        <v>486962.6417346</v>
      </c>
      <c r="I46" s="80" t="n">
        <f aca="false">I45*(1-Vacancy)*(1-MgmtPct)+SUM(CashFlow!I24:I26)</f>
        <v>475800.858314949</v>
      </c>
      <c r="J46" s="80" t="n">
        <f aca="false">J45*(1-Vacancy)*(1-MgmtPct)+SUM(CashFlow!J24:J26)</f>
        <v>490074.884064398</v>
      </c>
      <c r="K46" s="80" t="n">
        <f aca="false">K45*(1-Vacancy)*(1-MgmtPct)+SUM(CashFlow!K24:K26)</f>
        <v>504777.130586329</v>
      </c>
      <c r="L46" s="80" t="n">
        <f aca="false">L45*(1-Vacancy)*(1-MgmtPct)+SUM(CashFlow!L24:L26)</f>
        <v>519920.444503919</v>
      </c>
      <c r="M46" s="80" t="n">
        <f aca="false">M45*(1-Vacancy)*(1-MgmtPct)+SUM(CashFlow!M24:M26)</f>
        <v>535518.057839037</v>
      </c>
      <c r="N46" s="80" t="n">
        <f aca="false">N45*(1-Vacancy)*(1-MgmtPct)+SUM(CashFlow!N24:N26)</f>
        <v>551583.599574208</v>
      </c>
    </row>
    <row r="48" customFormat="false" ht="15" hidden="false" customHeight="false" outlineLevel="0" collapsed="false">
      <c r="A48" s="57" t="s">
        <v>271</v>
      </c>
      <c r="B48" s="102" t="n">
        <f aca="false">(3-2)*StepG</f>
        <v>0.01</v>
      </c>
      <c r="C48" s="57"/>
      <c r="D48" s="57"/>
      <c r="E48" s="57"/>
      <c r="F48" s="57"/>
      <c r="G48" s="57"/>
      <c r="H48" s="57"/>
      <c r="I48" s="57"/>
      <c r="J48" s="57"/>
      <c r="K48" s="57"/>
      <c r="L48" s="57"/>
      <c r="M48" s="57"/>
      <c r="N48" s="57"/>
    </row>
    <row r="49" customFormat="false" ht="15" hidden="false" customHeight="false" outlineLevel="0" collapsed="false">
      <c r="A49" s="91" t="str">
        <f aca="false">RentRoll!B6</f>
        <v>S&amp;A Leasing</v>
      </c>
      <c r="D49" s="71" t="n">
        <f aca="false">RentRoll!$H$6*RentRoll!$P$6*(1+IF(RentRoll!$I$6="",RentGrowth+$B$48,RentRoll!$I$6))^(D$4-1)*(MAX(0,MIN(12*D$4,IF(RentRoll!$K$6="",99999,RentRoll!$K$6))-MAX(12*(D$4-1),RentRoll!$R$6))+RentRoll!$L$6*MAX(0,12*D$4-MAX(12*(D$4-1),IF(RentRoll!$K$6="",99999,RentRoll!$K$6),RentRoll!$R$6)))/12</f>
        <v>156000</v>
      </c>
      <c r="E49" s="71" t="n">
        <f aca="false">RentRoll!$H$6*RentRoll!$P$6*(1+IF(RentRoll!$I$6="",RentGrowth+$B$48,RentRoll!$I$6))^(E$4-1)*(MAX(0,MIN(12*E$4,IF(RentRoll!$K$6="",99999,RentRoll!$K$6))-MAX(12*(E$4-1),RentRoll!$R$6))+RentRoll!$L$6*MAX(0,12*E$4-MAX(12*(E$4-1),IF(RentRoll!$K$6="",99999,RentRoll!$K$6),RentRoll!$R$6)))/12</f>
        <v>160680</v>
      </c>
      <c r="F49" s="71" t="n">
        <f aca="false">RentRoll!$H$6*RentRoll!$P$6*(1+IF(RentRoll!$I$6="",RentGrowth+$B$48,RentRoll!$I$6))^(F$4-1)*(MAX(0,MIN(12*F$4,IF(RentRoll!$K$6="",99999,RentRoll!$K$6))-MAX(12*(F$4-1),RentRoll!$R$6))+RentRoll!$L$6*MAX(0,12*F$4-MAX(12*(F$4-1),IF(RentRoll!$K$6="",99999,RentRoll!$K$6),RentRoll!$R$6)))/12</f>
        <v>165500.4</v>
      </c>
      <c r="G49" s="71" t="n">
        <f aca="false">RentRoll!$H$6*RentRoll!$P$6*(1+IF(RentRoll!$I$6="",RentGrowth+$B$48,RentRoll!$I$6))^(G$4-1)*(MAX(0,MIN(12*G$4,IF(RentRoll!$K$6="",99999,RentRoll!$K$6))-MAX(12*(G$4-1),RentRoll!$R$6))+RentRoll!$L$6*MAX(0,12*G$4-MAX(12*(G$4-1),IF(RentRoll!$K$6="",99999,RentRoll!$K$6),RentRoll!$R$6)))/12</f>
        <v>170465.412</v>
      </c>
      <c r="H49" s="71" t="n">
        <f aca="false">RentRoll!$H$6*RentRoll!$P$6*(1+IF(RentRoll!$I$6="",RentGrowth+$B$48,RentRoll!$I$6))^(H$4-1)*(MAX(0,MIN(12*H$4,IF(RentRoll!$K$6="",99999,RentRoll!$K$6))-MAX(12*(H$4-1),RentRoll!$R$6))+RentRoll!$L$6*MAX(0,12*H$4-MAX(12*(H$4-1),IF(RentRoll!$K$6="",99999,RentRoll!$K$6),RentRoll!$R$6)))/12</f>
        <v>175579.37436</v>
      </c>
      <c r="I49" s="71" t="n">
        <f aca="false">RentRoll!$H$6*RentRoll!$P$6*(1+IF(RentRoll!$I$6="",RentGrowth+$B$48,RentRoll!$I$6))^(I$4-1)*(MAX(0,MIN(12*I$4,IF(RentRoll!$K$6="",99999,RentRoll!$K$6))-MAX(12*(I$4-1),RentRoll!$R$6))+RentRoll!$L$6*MAX(0,12*I$4-MAX(12*(I$4-1),IF(RentRoll!$K$6="",99999,RentRoll!$K$6),RentRoll!$R$6)))/12</f>
        <v>153719.74225218</v>
      </c>
      <c r="J49" s="71" t="n">
        <f aca="false">RentRoll!$H$6*RentRoll!$P$6*(1+IF(RentRoll!$I$6="",RentGrowth+$B$48,RentRoll!$I$6))^(J$4-1)*(MAX(0,MIN(12*J$4,IF(RentRoll!$K$6="",99999,RentRoll!$K$6))-MAX(12*(J$4-1),RentRoll!$R$6))+RentRoll!$L$6*MAX(0,12*J$4-MAX(12*(J$4-1),IF(RentRoll!$K$6="",99999,RentRoll!$K$6),RentRoll!$R$6)))/12</f>
        <v>158331.334519745</v>
      </c>
      <c r="K49" s="71" t="n">
        <f aca="false">RentRoll!$H$6*RentRoll!$P$6*(1+IF(RentRoll!$I$6="",RentGrowth+$B$48,RentRoll!$I$6))^(K$4-1)*(MAX(0,MIN(12*K$4,IF(RentRoll!$K$6="",99999,RentRoll!$K$6))-MAX(12*(K$4-1),RentRoll!$R$6))+RentRoll!$L$6*MAX(0,12*K$4-MAX(12*(K$4-1),IF(RentRoll!$K$6="",99999,RentRoll!$K$6),RentRoll!$R$6)))/12</f>
        <v>163081.274555338</v>
      </c>
      <c r="L49" s="71" t="n">
        <f aca="false">RentRoll!$H$6*RentRoll!$P$6*(1+IF(RentRoll!$I$6="",RentGrowth+$B$48,RentRoll!$I$6))^(L$4-1)*(MAX(0,MIN(12*L$4,IF(RentRoll!$K$6="",99999,RentRoll!$K$6))-MAX(12*(L$4-1),RentRoll!$R$6))+RentRoll!$L$6*MAX(0,12*L$4-MAX(12*(L$4-1),IF(RentRoll!$K$6="",99999,RentRoll!$K$6),RentRoll!$R$6)))/12</f>
        <v>167973.712791998</v>
      </c>
      <c r="M49" s="71" t="n">
        <f aca="false">RentRoll!$H$6*RentRoll!$P$6*(1+IF(RentRoll!$I$6="",RentGrowth+$B$48,RentRoll!$I$6))^(M$4-1)*(MAX(0,MIN(12*M$4,IF(RentRoll!$K$6="",99999,RentRoll!$K$6))-MAX(12*(M$4-1),RentRoll!$R$6))+RentRoll!$L$6*MAX(0,12*M$4-MAX(12*(M$4-1),IF(RentRoll!$K$6="",99999,RentRoll!$K$6),RentRoll!$R$6)))/12</f>
        <v>173012.924175758</v>
      </c>
      <c r="N49" s="71" t="n">
        <f aca="false">RentRoll!$H$6*RentRoll!$P$6*(1+IF(RentRoll!$I$6="",RentGrowth+$B$48,RentRoll!$I$6))^(N$4-1)*(MAX(0,MIN(12*N$4,IF(RentRoll!$K$6="",99999,RentRoll!$K$6))-MAX(12*(N$4-1),RentRoll!$R$6))+RentRoll!$L$6*MAX(0,12*N$4-MAX(12*(N$4-1),IF(RentRoll!$K$6="",99999,RentRoll!$K$6),RentRoll!$R$6)))/12</f>
        <v>178203.311901031</v>
      </c>
    </row>
    <row r="50" customFormat="false" ht="15" hidden="false" customHeight="false" outlineLevel="0" collapsed="false">
      <c r="A50" s="91" t="str">
        <f aca="false">RentRoll!B7</f>
        <v>Reindeer (Prime)</v>
      </c>
      <c r="D50" s="71" t="n">
        <f aca="false">RentRoll!$H$7*RentRoll!$P$7*(1+IF(RentRoll!$I$7="",RentGrowth+$B$48,RentRoll!$I$7))^(D$4-1)*(MAX(0,MIN(12*D$4,IF(RentRoll!$K$7="",99999,RentRoll!$K$7))-MAX(12*(D$4-1),RentRoll!$R$7))+RentRoll!$L$7*MAX(0,12*D$4-MAX(12*(D$4-1),IF(RentRoll!$K$7="",99999,RentRoll!$K$7),RentRoll!$R$7)))/12</f>
        <v>84000</v>
      </c>
      <c r="E50" s="71" t="n">
        <f aca="false">RentRoll!$H$7*RentRoll!$P$7*(1+IF(RentRoll!$I$7="",RentGrowth+$B$48,RentRoll!$I$7))^(E$4-1)*(MAX(0,MIN(12*E$4,IF(RentRoll!$K$7="",99999,RentRoll!$K$7))-MAX(12*(E$4-1),RentRoll!$R$7))+RentRoll!$L$7*MAX(0,12*E$4-MAX(12*(E$4-1),IF(RentRoll!$K$7="",99999,RentRoll!$K$7),RentRoll!$R$7)))/12</f>
        <v>87360</v>
      </c>
      <c r="F50" s="71" t="n">
        <f aca="false">RentRoll!$H$7*RentRoll!$P$7*(1+IF(RentRoll!$I$7="",RentGrowth+$B$48,RentRoll!$I$7))^(F$4-1)*(MAX(0,MIN(12*F$4,IF(RentRoll!$K$7="",99999,RentRoll!$K$7))-MAX(12*(F$4-1),RentRoll!$R$7))+RentRoll!$L$7*MAX(0,12*F$4-MAX(12*(F$4-1),IF(RentRoll!$K$7="",99999,RentRoll!$K$7),RentRoll!$R$7)))/12</f>
        <v>81768.96</v>
      </c>
      <c r="G50" s="71" t="n">
        <f aca="false">RentRoll!$H$7*RentRoll!$P$7*(1+IF(RentRoll!$I$7="",RentGrowth+$B$48,RentRoll!$I$7))^(G$4-1)*(MAX(0,MIN(12*G$4,IF(RentRoll!$K$7="",99999,RentRoll!$K$7))-MAX(12*(G$4-1),RentRoll!$R$7))+RentRoll!$L$7*MAX(0,12*G$4-MAX(12*(G$4-1),IF(RentRoll!$K$7="",99999,RentRoll!$K$7),RentRoll!$R$7)))/12</f>
        <v>85039.7184</v>
      </c>
      <c r="H50" s="71" t="n">
        <f aca="false">RentRoll!$H$7*RentRoll!$P$7*(1+IF(RentRoll!$I$7="",RentGrowth+$B$48,RentRoll!$I$7))^(H$4-1)*(MAX(0,MIN(12*H$4,IF(RentRoll!$K$7="",99999,RentRoll!$K$7))-MAX(12*(H$4-1),RentRoll!$R$7))+RentRoll!$L$7*MAX(0,12*H$4-MAX(12*(H$4-1),IF(RentRoll!$K$7="",99999,RentRoll!$K$7),RentRoll!$R$7)))/12</f>
        <v>88441.307136</v>
      </c>
      <c r="I50" s="71" t="n">
        <f aca="false">RentRoll!$H$7*RentRoll!$P$7*(1+IF(RentRoll!$I$7="",RentGrowth+$B$48,RentRoll!$I$7))^(I$4-1)*(MAX(0,MIN(12*I$4,IF(RentRoll!$K$7="",99999,RentRoll!$K$7))-MAX(12*(I$4-1),RentRoll!$R$7))+RentRoll!$L$7*MAX(0,12*I$4-MAX(12*(I$4-1),IF(RentRoll!$K$7="",99999,RentRoll!$K$7),RentRoll!$R$7)))/12</f>
        <v>91978.95942144</v>
      </c>
      <c r="J50" s="71" t="n">
        <f aca="false">RentRoll!$H$7*RentRoll!$P$7*(1+IF(RentRoll!$I$7="",RentGrowth+$B$48,RentRoll!$I$7))^(J$4-1)*(MAX(0,MIN(12*J$4,IF(RentRoll!$K$7="",99999,RentRoll!$K$7))-MAX(12*(J$4-1),RentRoll!$R$7))+RentRoll!$L$7*MAX(0,12*J$4-MAX(12*(J$4-1),IF(RentRoll!$K$7="",99999,RentRoll!$K$7),RentRoll!$R$7)))/12</f>
        <v>95658.1177982976</v>
      </c>
      <c r="K50" s="71" t="n">
        <f aca="false">RentRoll!$H$7*RentRoll!$P$7*(1+IF(RentRoll!$I$7="",RentGrowth+$B$48,RentRoll!$I$7))^(K$4-1)*(MAX(0,MIN(12*K$4,IF(RentRoll!$K$7="",99999,RentRoll!$K$7))-MAX(12*(K$4-1),RentRoll!$R$7))+RentRoll!$L$7*MAX(0,12*K$4-MAX(12*(K$4-1),IF(RentRoll!$K$7="",99999,RentRoll!$K$7),RentRoll!$R$7)))/12</f>
        <v>99484.4425102295</v>
      </c>
      <c r="L50" s="71" t="n">
        <f aca="false">RentRoll!$H$7*RentRoll!$P$7*(1+IF(RentRoll!$I$7="",RentGrowth+$B$48,RentRoll!$I$7))^(L$4-1)*(MAX(0,MIN(12*L$4,IF(RentRoll!$K$7="",99999,RentRoll!$K$7))-MAX(12*(L$4-1),RentRoll!$R$7))+RentRoll!$L$7*MAX(0,12*L$4-MAX(12*(L$4-1),IF(RentRoll!$K$7="",99999,RentRoll!$K$7),RentRoll!$R$7)))/12</f>
        <v>103463.820210639</v>
      </c>
      <c r="M50" s="71" t="n">
        <f aca="false">RentRoll!$H$7*RentRoll!$P$7*(1+IF(RentRoll!$I$7="",RentGrowth+$B$48,RentRoll!$I$7))^(M$4-1)*(MAX(0,MIN(12*M$4,IF(RentRoll!$K$7="",99999,RentRoll!$K$7))-MAX(12*(M$4-1),RentRoll!$R$7))+RentRoll!$L$7*MAX(0,12*M$4-MAX(12*(M$4-1),IF(RentRoll!$K$7="",99999,RentRoll!$K$7),RentRoll!$R$7)))/12</f>
        <v>107602.373019064</v>
      </c>
      <c r="N50" s="71" t="n">
        <f aca="false">RentRoll!$H$7*RentRoll!$P$7*(1+IF(RentRoll!$I$7="",RentGrowth+$B$48,RentRoll!$I$7))^(N$4-1)*(MAX(0,MIN(12*N$4,IF(RentRoll!$K$7="",99999,RentRoll!$K$7))-MAX(12*(N$4-1),RentRoll!$R$7))+RentRoll!$L$7*MAX(0,12*N$4-MAX(12*(N$4-1),IF(RentRoll!$K$7="",99999,RentRoll!$K$7),RentRoll!$R$7)))/12</f>
        <v>111906.467939827</v>
      </c>
    </row>
    <row r="51" customFormat="false" ht="15" hidden="false" customHeight="false" outlineLevel="0" collapsed="false">
      <c r="A51" s="91" t="str">
        <f aca="false">RentRoll!B8</f>
        <v>Straight 6</v>
      </c>
      <c r="D51" s="71" t="n">
        <f aca="false">RentRoll!$H$8*RentRoll!$P$8*(1+IF(RentRoll!$I$8="",RentGrowth+$B$48,RentRoll!$I$8))^(D$4-1)*(MAX(0,MIN(12*D$4,IF(RentRoll!$K$8="",99999,RentRoll!$K$8))-MAX(12*(D$4-1),RentRoll!$R$8))+RentRoll!$L$8*MAX(0,12*D$4-MAX(12*(D$4-1),IF(RentRoll!$K$8="",99999,RentRoll!$K$8),RentRoll!$R$8)))/12</f>
        <v>78000</v>
      </c>
      <c r="E51" s="71" t="n">
        <f aca="false">RentRoll!$H$8*RentRoll!$P$8*(1+IF(RentRoll!$I$8="",RentGrowth+$B$48,RentRoll!$I$8))^(E$4-1)*(MAX(0,MIN(12*E$4,IF(RentRoll!$K$8="",99999,RentRoll!$K$8))-MAX(12*(E$4-1),RentRoll!$R$8))+RentRoll!$L$8*MAX(0,12*E$4-MAX(12*(E$4-1),IF(RentRoll!$K$8="",99999,RentRoll!$K$8),RentRoll!$R$8)))/12</f>
        <v>81120</v>
      </c>
      <c r="F51" s="71" t="n">
        <f aca="false">RentRoll!$H$8*RentRoll!$P$8*(1+IF(RentRoll!$I$8="",RentGrowth+$B$48,RentRoll!$I$8))^(F$4-1)*(MAX(0,MIN(12*F$4,IF(RentRoll!$K$8="",99999,RentRoll!$K$8))-MAX(12*(F$4-1),RentRoll!$R$8))+RentRoll!$L$8*MAX(0,12*F$4-MAX(12*(F$4-1),IF(RentRoll!$K$8="",99999,RentRoll!$K$8),RentRoll!$R$8)))/12</f>
        <v>84364.8</v>
      </c>
      <c r="G51" s="71" t="n">
        <f aca="false">RentRoll!$H$8*RentRoll!$P$8*(1+IF(RentRoll!$I$8="",RentGrowth+$B$48,RentRoll!$I$8))^(G$4-1)*(MAX(0,MIN(12*G$4,IF(RentRoll!$K$8="",99999,RentRoll!$K$8))-MAX(12*(G$4-1),RentRoll!$R$8))+RentRoll!$L$8*MAX(0,12*G$4-MAX(12*(G$4-1),IF(RentRoll!$K$8="",99999,RentRoll!$K$8),RentRoll!$R$8)))/12</f>
        <v>87739.392</v>
      </c>
      <c r="H51" s="71" t="n">
        <f aca="false">RentRoll!$H$8*RentRoll!$P$8*(1+IF(RentRoll!$I$8="",RentGrowth+$B$48,RentRoll!$I$8))^(H$4-1)*(MAX(0,MIN(12*H$4,IF(RentRoll!$K$8="",99999,RentRoll!$K$8))-MAX(12*(H$4-1),RentRoll!$R$8))+RentRoll!$L$8*MAX(0,12*H$4-MAX(12*(H$4-1),IF(RentRoll!$K$8="",99999,RentRoll!$K$8),RentRoll!$R$8)))/12</f>
        <v>91248.96768</v>
      </c>
      <c r="I51" s="71" t="n">
        <f aca="false">RentRoll!$H$8*RentRoll!$P$8*(1+IF(RentRoll!$I$8="",RentGrowth+$B$48,RentRoll!$I$8))^(I$4-1)*(MAX(0,MIN(12*I$4,IF(RentRoll!$K$8="",99999,RentRoll!$K$8))-MAX(12*(I$4-1),RentRoll!$R$8))+RentRoll!$L$8*MAX(0,12*I$4-MAX(12*(I$4-1),IF(RentRoll!$K$8="",99999,RentRoll!$K$8),RentRoll!$R$8)))/12</f>
        <v>94898.9263872</v>
      </c>
      <c r="J51" s="71" t="n">
        <f aca="false">RentRoll!$H$8*RentRoll!$P$8*(1+IF(RentRoll!$I$8="",RentGrowth+$B$48,RentRoll!$I$8))^(J$4-1)*(MAX(0,MIN(12*J$4,IF(RentRoll!$K$8="",99999,RentRoll!$K$8))-MAX(12*(J$4-1),RentRoll!$R$8))+RentRoll!$L$8*MAX(0,12*J$4-MAX(12*(J$4-1),IF(RentRoll!$K$8="",99999,RentRoll!$K$8),RentRoll!$R$8)))/12</f>
        <v>98694.883442688</v>
      </c>
      <c r="K51" s="71" t="n">
        <f aca="false">RentRoll!$H$8*RentRoll!$P$8*(1+IF(RentRoll!$I$8="",RentGrowth+$B$48,RentRoll!$I$8))^(K$4-1)*(MAX(0,MIN(12*K$4,IF(RentRoll!$K$8="",99999,RentRoll!$K$8))-MAX(12*(K$4-1),RentRoll!$R$8))+RentRoll!$L$8*MAX(0,12*K$4-MAX(12*(K$4-1),IF(RentRoll!$K$8="",99999,RentRoll!$K$8),RentRoll!$R$8)))/12</f>
        <v>102642.678780396</v>
      </c>
      <c r="L51" s="71" t="n">
        <f aca="false">RentRoll!$H$8*RentRoll!$P$8*(1+IF(RentRoll!$I$8="",RentGrowth+$B$48,RentRoll!$I$8))^(L$4-1)*(MAX(0,MIN(12*L$4,IF(RentRoll!$K$8="",99999,RentRoll!$K$8))-MAX(12*(L$4-1),RentRoll!$R$8))+RentRoll!$L$8*MAX(0,12*L$4-MAX(12*(L$4-1),IF(RentRoll!$K$8="",99999,RentRoll!$K$8),RentRoll!$R$8)))/12</f>
        <v>106748.385931611</v>
      </c>
      <c r="M51" s="71" t="n">
        <f aca="false">RentRoll!$H$8*RentRoll!$P$8*(1+IF(RentRoll!$I$8="",RentGrowth+$B$48,RentRoll!$I$8))^(M$4-1)*(MAX(0,MIN(12*M$4,IF(RentRoll!$K$8="",99999,RentRoll!$K$8))-MAX(12*(M$4-1),RentRoll!$R$8))+RentRoll!$L$8*MAX(0,12*M$4-MAX(12*(M$4-1),IF(RentRoll!$K$8="",99999,RentRoll!$K$8),RentRoll!$R$8)))/12</f>
        <v>111018.321368876</v>
      </c>
      <c r="N51" s="71" t="n">
        <f aca="false">RentRoll!$H$8*RentRoll!$P$8*(1+IF(RentRoll!$I$8="",RentGrowth+$B$48,RentRoll!$I$8))^(N$4-1)*(MAX(0,MIN(12*N$4,IF(RentRoll!$K$8="",99999,RentRoll!$K$8))-MAX(12*(N$4-1),RentRoll!$R$8))+RentRoll!$L$8*MAX(0,12*N$4-MAX(12*(N$4-1),IF(RentRoll!$K$8="",99999,RentRoll!$K$8),RentRoll!$R$8)))/12</f>
        <v>115459.054223631</v>
      </c>
    </row>
    <row r="52" customFormat="false" ht="15" hidden="false" customHeight="false" outlineLevel="0" collapsed="false">
      <c r="A52" s="91" t="str">
        <f aca="false">RentRoll!B9</f>
        <v>Big Dawgs (repo)</v>
      </c>
      <c r="D52" s="71" t="n">
        <f aca="false">RentRoll!$H$9*RentRoll!$P$9*(1+IF(RentRoll!$I$9="",RentGrowth+$B$48,RentRoll!$I$9))^(D$4-1)*(MAX(0,MIN(12*D$4,IF(RentRoll!$K$9="",99999,RentRoll!$K$9))-MAX(12*(D$4-1),RentRoll!$R$9))+RentRoll!$L$9*MAX(0,12*D$4-MAX(12*(D$4-1),IF(RentRoll!$K$9="",99999,RentRoll!$K$9),RentRoll!$R$9)))/12</f>
        <v>48000</v>
      </c>
      <c r="E52" s="71" t="n">
        <f aca="false">RentRoll!$H$9*RentRoll!$P$9*(1+IF(RentRoll!$I$9="",RentGrowth+$B$48,RentRoll!$I$9))^(E$4-1)*(MAX(0,MIN(12*E$4,IF(RentRoll!$K$9="",99999,RentRoll!$K$9))-MAX(12*(E$4-1),RentRoll!$R$9))+RentRoll!$L$9*MAX(0,12*E$4-MAX(12*(E$4-1),IF(RentRoll!$K$9="",99999,RentRoll!$K$9),RentRoll!$R$9)))/12</f>
        <v>49920</v>
      </c>
      <c r="F52" s="71" t="n">
        <f aca="false">RentRoll!$H$9*RentRoll!$P$9*(1+IF(RentRoll!$I$9="",RentGrowth+$B$48,RentRoll!$I$9))^(F$4-1)*(MAX(0,MIN(12*F$4,IF(RentRoll!$K$9="",99999,RentRoll!$K$9))-MAX(12*(F$4-1),RentRoll!$R$9))+RentRoll!$L$9*MAX(0,12*F$4-MAX(12*(F$4-1),IF(RentRoll!$K$9="",99999,RentRoll!$K$9),RentRoll!$R$9)))/12</f>
        <v>51916.8</v>
      </c>
      <c r="G52" s="71" t="n">
        <f aca="false">RentRoll!$H$9*RentRoll!$P$9*(1+IF(RentRoll!$I$9="",RentGrowth+$B$48,RentRoll!$I$9))^(G$4-1)*(MAX(0,MIN(12*G$4,IF(RentRoll!$K$9="",99999,RentRoll!$K$9))-MAX(12*(G$4-1),RentRoll!$R$9))+RentRoll!$L$9*MAX(0,12*G$4-MAX(12*(G$4-1),IF(RentRoll!$K$9="",99999,RentRoll!$K$9),RentRoll!$R$9)))/12</f>
        <v>53993.472</v>
      </c>
      <c r="H52" s="71" t="n">
        <f aca="false">RentRoll!$H$9*RentRoll!$P$9*(1+IF(RentRoll!$I$9="",RentGrowth+$B$48,RentRoll!$I$9))^(H$4-1)*(MAX(0,MIN(12*H$4,IF(RentRoll!$K$9="",99999,RentRoll!$K$9))-MAX(12*(H$4-1),RentRoll!$R$9))+RentRoll!$L$9*MAX(0,12*H$4-MAX(12*(H$4-1),IF(RentRoll!$K$9="",99999,RentRoll!$K$9),RentRoll!$R$9)))/12</f>
        <v>56153.21088</v>
      </c>
      <c r="I52" s="71" t="n">
        <f aca="false">RentRoll!$H$9*RentRoll!$P$9*(1+IF(RentRoll!$I$9="",RentGrowth+$B$48,RentRoll!$I$9))^(I$4-1)*(MAX(0,MIN(12*I$4,IF(RentRoll!$K$9="",99999,RentRoll!$K$9))-MAX(12*(I$4-1),RentRoll!$R$9))+RentRoll!$L$9*MAX(0,12*I$4-MAX(12*(I$4-1),IF(RentRoll!$K$9="",99999,RentRoll!$K$9),RentRoll!$R$9)))/12</f>
        <v>58399.3393152</v>
      </c>
      <c r="J52" s="71" t="n">
        <f aca="false">RentRoll!$H$9*RentRoll!$P$9*(1+IF(RentRoll!$I$9="",RentGrowth+$B$48,RentRoll!$I$9))^(J$4-1)*(MAX(0,MIN(12*J$4,IF(RentRoll!$K$9="",99999,RentRoll!$K$9))-MAX(12*(J$4-1),RentRoll!$R$9))+RentRoll!$L$9*MAX(0,12*J$4-MAX(12*(J$4-1),IF(RentRoll!$K$9="",99999,RentRoll!$K$9),RentRoll!$R$9)))/12</f>
        <v>60735.312887808</v>
      </c>
      <c r="K52" s="71" t="n">
        <f aca="false">RentRoll!$H$9*RentRoll!$P$9*(1+IF(RentRoll!$I$9="",RentGrowth+$B$48,RentRoll!$I$9))^(K$4-1)*(MAX(0,MIN(12*K$4,IF(RentRoll!$K$9="",99999,RentRoll!$K$9))-MAX(12*(K$4-1),RentRoll!$R$9))+RentRoll!$L$9*MAX(0,12*K$4-MAX(12*(K$4-1),IF(RentRoll!$K$9="",99999,RentRoll!$K$9),RentRoll!$R$9)))/12</f>
        <v>63164.7254033203</v>
      </c>
      <c r="L52" s="71" t="n">
        <f aca="false">RentRoll!$H$9*RentRoll!$P$9*(1+IF(RentRoll!$I$9="",RentGrowth+$B$48,RentRoll!$I$9))^(L$4-1)*(MAX(0,MIN(12*L$4,IF(RentRoll!$K$9="",99999,RentRoll!$K$9))-MAX(12*(L$4-1),RentRoll!$R$9))+RentRoll!$L$9*MAX(0,12*L$4-MAX(12*(L$4-1),IF(RentRoll!$K$9="",99999,RentRoll!$K$9),RentRoll!$R$9)))/12</f>
        <v>65691.3144194532</v>
      </c>
      <c r="M52" s="71" t="n">
        <f aca="false">RentRoll!$H$9*RentRoll!$P$9*(1+IF(RentRoll!$I$9="",RentGrowth+$B$48,RentRoll!$I$9))^(M$4-1)*(MAX(0,MIN(12*M$4,IF(RentRoll!$K$9="",99999,RentRoll!$K$9))-MAX(12*(M$4-1),RentRoll!$R$9))+RentRoll!$L$9*MAX(0,12*M$4-MAX(12*(M$4-1),IF(RentRoll!$K$9="",99999,RentRoll!$K$9),RentRoll!$R$9)))/12</f>
        <v>68318.9669962313</v>
      </c>
      <c r="N52" s="71" t="n">
        <f aca="false">RentRoll!$H$9*RentRoll!$P$9*(1+IF(RentRoll!$I$9="",RentGrowth+$B$48,RentRoll!$I$9))^(N$4-1)*(MAX(0,MIN(12*N$4,IF(RentRoll!$K$9="",99999,RentRoll!$K$9))-MAX(12*(N$4-1),RentRoll!$R$9))+RentRoll!$L$9*MAX(0,12*N$4-MAX(12*(N$4-1),IF(RentRoll!$K$9="",99999,RentRoll!$K$9),RentRoll!$R$9)))/12</f>
        <v>71051.7256760805</v>
      </c>
    </row>
    <row r="53" customFormat="false" ht="15" hidden="false" customHeight="false" outlineLevel="0" collapsed="false">
      <c r="A53" s="91" t="str">
        <f aca="false">RentRoll!B10</f>
        <v>Individual tenants (various)</v>
      </c>
      <c r="D53" s="71" t="n">
        <f aca="false">RentRoll!$H$10*RentRoll!$P$10*(1+IF(RentRoll!$I$10="",RentGrowth+$B$48,RentRoll!$I$10))^(D$4-1)*(MAX(0,MIN(12*D$4,IF(RentRoll!$K$10="",99999,RentRoll!$K$10))-MAX(12*(D$4-1),RentRoll!$R$10))+RentRoll!$L$10*MAX(0,12*D$4-MAX(12*(D$4-1),IF(RentRoll!$K$10="",99999,RentRoll!$K$10),RentRoll!$R$10)))/12</f>
        <v>25200</v>
      </c>
      <c r="E53" s="71" t="n">
        <f aca="false">RentRoll!$H$10*RentRoll!$P$10*(1+IF(RentRoll!$I$10="",RentGrowth+$B$48,RentRoll!$I$10))^(E$4-1)*(MAX(0,MIN(12*E$4,IF(RentRoll!$K$10="",99999,RentRoll!$K$10))-MAX(12*(E$4-1),RentRoll!$R$10))+RentRoll!$L$10*MAX(0,12*E$4-MAX(12*(E$4-1),IF(RentRoll!$K$10="",99999,RentRoll!$K$10),RentRoll!$R$10)))/12</f>
        <v>26208</v>
      </c>
      <c r="F53" s="71" t="n">
        <f aca="false">RentRoll!$H$10*RentRoll!$P$10*(1+IF(RentRoll!$I$10="",RentGrowth+$B$48,RentRoll!$I$10))^(F$4-1)*(MAX(0,MIN(12*F$4,IF(RentRoll!$K$10="",99999,RentRoll!$K$10))-MAX(12*(F$4-1),RentRoll!$R$10))+RentRoll!$L$10*MAX(0,12*F$4-MAX(12*(F$4-1),IF(RentRoll!$K$10="",99999,RentRoll!$K$10),RentRoll!$R$10)))/12</f>
        <v>27256.32</v>
      </c>
      <c r="G53" s="71" t="n">
        <f aca="false">RentRoll!$H$10*RentRoll!$P$10*(1+IF(RentRoll!$I$10="",RentGrowth+$B$48,RentRoll!$I$10))^(G$4-1)*(MAX(0,MIN(12*G$4,IF(RentRoll!$K$10="",99999,RentRoll!$K$10))-MAX(12*(G$4-1),RentRoll!$R$10))+RentRoll!$L$10*MAX(0,12*G$4-MAX(12*(G$4-1),IF(RentRoll!$K$10="",99999,RentRoll!$K$10),RentRoll!$R$10)))/12</f>
        <v>28346.5728</v>
      </c>
      <c r="H53" s="71" t="n">
        <f aca="false">RentRoll!$H$10*RentRoll!$P$10*(1+IF(RentRoll!$I$10="",RentGrowth+$B$48,RentRoll!$I$10))^(H$4-1)*(MAX(0,MIN(12*H$4,IF(RentRoll!$K$10="",99999,RentRoll!$K$10))-MAX(12*(H$4-1),RentRoll!$R$10))+RentRoll!$L$10*MAX(0,12*H$4-MAX(12*(H$4-1),IF(RentRoll!$K$10="",99999,RentRoll!$K$10),RentRoll!$R$10)))/12</f>
        <v>29480.435712</v>
      </c>
      <c r="I53" s="71" t="n">
        <f aca="false">RentRoll!$H$10*RentRoll!$P$10*(1+IF(RentRoll!$I$10="",RentGrowth+$B$48,RentRoll!$I$10))^(I$4-1)*(MAX(0,MIN(12*I$4,IF(RentRoll!$K$10="",99999,RentRoll!$K$10))-MAX(12*(I$4-1),RentRoll!$R$10))+RentRoll!$L$10*MAX(0,12*I$4-MAX(12*(I$4-1),IF(RentRoll!$K$10="",99999,RentRoll!$K$10),RentRoll!$R$10)))/12</f>
        <v>30659.65314048</v>
      </c>
      <c r="J53" s="71" t="n">
        <f aca="false">RentRoll!$H$10*RentRoll!$P$10*(1+IF(RentRoll!$I$10="",RentGrowth+$B$48,RentRoll!$I$10))^(J$4-1)*(MAX(0,MIN(12*J$4,IF(RentRoll!$K$10="",99999,RentRoll!$K$10))-MAX(12*(J$4-1),RentRoll!$R$10))+RentRoll!$L$10*MAX(0,12*J$4-MAX(12*(J$4-1),IF(RentRoll!$K$10="",99999,RentRoll!$K$10),RentRoll!$R$10)))/12</f>
        <v>31886.0392660992</v>
      </c>
      <c r="K53" s="71" t="n">
        <f aca="false">RentRoll!$H$10*RentRoll!$P$10*(1+IF(RentRoll!$I$10="",RentGrowth+$B$48,RentRoll!$I$10))^(K$4-1)*(MAX(0,MIN(12*K$4,IF(RentRoll!$K$10="",99999,RentRoll!$K$10))-MAX(12*(K$4-1),RentRoll!$R$10))+RentRoll!$L$10*MAX(0,12*K$4-MAX(12*(K$4-1),IF(RentRoll!$K$10="",99999,RentRoll!$K$10),RentRoll!$R$10)))/12</f>
        <v>33161.4808367432</v>
      </c>
      <c r="L53" s="71" t="n">
        <f aca="false">RentRoll!$H$10*RentRoll!$P$10*(1+IF(RentRoll!$I$10="",RentGrowth+$B$48,RentRoll!$I$10))^(L$4-1)*(MAX(0,MIN(12*L$4,IF(RentRoll!$K$10="",99999,RentRoll!$K$10))-MAX(12*(L$4-1),RentRoll!$R$10))+RentRoll!$L$10*MAX(0,12*L$4-MAX(12*(L$4-1),IF(RentRoll!$K$10="",99999,RentRoll!$K$10),RentRoll!$R$10)))/12</f>
        <v>34487.9400702129</v>
      </c>
      <c r="M53" s="71" t="n">
        <f aca="false">RentRoll!$H$10*RentRoll!$P$10*(1+IF(RentRoll!$I$10="",RentGrowth+$B$48,RentRoll!$I$10))^(M$4-1)*(MAX(0,MIN(12*M$4,IF(RentRoll!$K$10="",99999,RentRoll!$K$10))-MAX(12*(M$4-1),RentRoll!$R$10))+RentRoll!$L$10*MAX(0,12*M$4-MAX(12*(M$4-1),IF(RentRoll!$K$10="",99999,RentRoll!$K$10),RentRoll!$R$10)))/12</f>
        <v>35867.4576730214</v>
      </c>
      <c r="N53" s="71" t="n">
        <f aca="false">RentRoll!$H$10*RentRoll!$P$10*(1+IF(RentRoll!$I$10="",RentGrowth+$B$48,RentRoll!$I$10))^(N$4-1)*(MAX(0,MIN(12*N$4,IF(RentRoll!$K$10="",99999,RentRoll!$K$10))-MAX(12*(N$4-1),RentRoll!$R$10))+RentRoll!$L$10*MAX(0,12*N$4-MAX(12*(N$4-1),IF(RentRoll!$K$10="",99999,RentRoll!$K$10),RentRoll!$R$10)))/12</f>
        <v>37302.1559799423</v>
      </c>
    </row>
    <row r="54" customFormat="false" ht="15" hidden="false" customHeight="false" outlineLevel="0" collapsed="false">
      <c r="A54" s="91" t="str">
        <f aca="false">RentRoll!B11</f>
        <v>CDL driver training</v>
      </c>
      <c r="D54" s="71" t="n">
        <f aca="false">RentRoll!$H$11*RentRoll!$P$11*(1+IF(RentRoll!$I$11="",RentGrowth+$B$48,RentRoll!$I$11))^(D$4-1)*(MAX(0,MIN(12*D$4,IF(RentRoll!$K$11="",99999,RentRoll!$K$11))-MAX(12*(D$4-1),RentRoll!$R$11))+RentRoll!$L$11*MAX(0,12*D$4-MAX(12*(D$4-1),IF(RentRoll!$K$11="",99999,RentRoll!$K$11),RentRoll!$R$11)))/12</f>
        <v>18000</v>
      </c>
      <c r="E54" s="71" t="n">
        <f aca="false">RentRoll!$H$11*RentRoll!$P$11*(1+IF(RentRoll!$I$11="",RentGrowth+$B$48,RentRoll!$I$11))^(E$4-1)*(MAX(0,MIN(12*E$4,IF(RentRoll!$K$11="",99999,RentRoll!$K$11))-MAX(12*(E$4-1),RentRoll!$R$11))+RentRoll!$L$11*MAX(0,12*E$4-MAX(12*(E$4-1),IF(RentRoll!$K$11="",99999,RentRoll!$K$11),RentRoll!$R$11)))/12</f>
        <v>18720</v>
      </c>
      <c r="F54" s="71" t="n">
        <f aca="false">RentRoll!$H$11*RentRoll!$P$11*(1+IF(RentRoll!$I$11="",RentGrowth+$B$48,RentRoll!$I$11))^(F$4-1)*(MAX(0,MIN(12*F$4,IF(RentRoll!$K$11="",99999,RentRoll!$K$11))-MAX(12*(F$4-1),RentRoll!$R$11))+RentRoll!$L$11*MAX(0,12*F$4-MAX(12*(F$4-1),IF(RentRoll!$K$11="",99999,RentRoll!$K$11),RentRoll!$R$11)))/12</f>
        <v>19468.8</v>
      </c>
      <c r="G54" s="71" t="n">
        <f aca="false">RentRoll!$H$11*RentRoll!$P$11*(1+IF(RentRoll!$I$11="",RentGrowth+$B$48,RentRoll!$I$11))^(G$4-1)*(MAX(0,MIN(12*G$4,IF(RentRoll!$K$11="",99999,RentRoll!$K$11))-MAX(12*(G$4-1),RentRoll!$R$11))+RentRoll!$L$11*MAX(0,12*G$4-MAX(12*(G$4-1),IF(RentRoll!$K$11="",99999,RentRoll!$K$11),RentRoll!$R$11)))/12</f>
        <v>20247.552</v>
      </c>
      <c r="H54" s="71" t="n">
        <f aca="false">RentRoll!$H$11*RentRoll!$P$11*(1+IF(RentRoll!$I$11="",RentGrowth+$B$48,RentRoll!$I$11))^(H$4-1)*(MAX(0,MIN(12*H$4,IF(RentRoll!$K$11="",99999,RentRoll!$K$11))-MAX(12*(H$4-1),RentRoll!$R$11))+RentRoll!$L$11*MAX(0,12*H$4-MAX(12*(H$4-1),IF(RentRoll!$K$11="",99999,RentRoll!$K$11),RentRoll!$R$11)))/12</f>
        <v>21057.45408</v>
      </c>
      <c r="I54" s="71" t="n">
        <f aca="false">RentRoll!$H$11*RentRoll!$P$11*(1+IF(RentRoll!$I$11="",RentGrowth+$B$48,RentRoll!$I$11))^(I$4-1)*(MAX(0,MIN(12*I$4,IF(RentRoll!$K$11="",99999,RentRoll!$K$11))-MAX(12*(I$4-1),RentRoll!$R$11))+RentRoll!$L$11*MAX(0,12*I$4-MAX(12*(I$4-1),IF(RentRoll!$K$11="",99999,RentRoll!$K$11),RentRoll!$R$11)))/12</f>
        <v>21899.7522432</v>
      </c>
      <c r="J54" s="71" t="n">
        <f aca="false">RentRoll!$H$11*RentRoll!$P$11*(1+IF(RentRoll!$I$11="",RentGrowth+$B$48,RentRoll!$I$11))^(J$4-1)*(MAX(0,MIN(12*J$4,IF(RentRoll!$K$11="",99999,RentRoll!$K$11))-MAX(12*(J$4-1),RentRoll!$R$11))+RentRoll!$L$11*MAX(0,12*J$4-MAX(12*(J$4-1),IF(RentRoll!$K$11="",99999,RentRoll!$K$11),RentRoll!$R$11)))/12</f>
        <v>22775.742332928</v>
      </c>
      <c r="K54" s="71" t="n">
        <f aca="false">RentRoll!$H$11*RentRoll!$P$11*(1+IF(RentRoll!$I$11="",RentGrowth+$B$48,RentRoll!$I$11))^(K$4-1)*(MAX(0,MIN(12*K$4,IF(RentRoll!$K$11="",99999,RentRoll!$K$11))-MAX(12*(K$4-1),RentRoll!$R$11))+RentRoll!$L$11*MAX(0,12*K$4-MAX(12*(K$4-1),IF(RentRoll!$K$11="",99999,RentRoll!$K$11),RentRoll!$R$11)))/12</f>
        <v>23686.7720262451</v>
      </c>
      <c r="L54" s="71" t="n">
        <f aca="false">RentRoll!$H$11*RentRoll!$P$11*(1+IF(RentRoll!$I$11="",RentGrowth+$B$48,RentRoll!$I$11))^(L$4-1)*(MAX(0,MIN(12*L$4,IF(RentRoll!$K$11="",99999,RentRoll!$K$11))-MAX(12*(L$4-1),RentRoll!$R$11))+RentRoll!$L$11*MAX(0,12*L$4-MAX(12*(L$4-1),IF(RentRoll!$K$11="",99999,RentRoll!$K$11),RentRoll!$R$11)))/12</f>
        <v>24634.2429072949</v>
      </c>
      <c r="M54" s="71" t="n">
        <f aca="false">RentRoll!$H$11*RentRoll!$P$11*(1+IF(RentRoll!$I$11="",RentGrowth+$B$48,RentRoll!$I$11))^(M$4-1)*(MAX(0,MIN(12*M$4,IF(RentRoll!$K$11="",99999,RentRoll!$K$11))-MAX(12*(M$4-1),RentRoll!$R$11))+RentRoll!$L$11*MAX(0,12*M$4-MAX(12*(M$4-1),IF(RentRoll!$K$11="",99999,RentRoll!$K$11),RentRoll!$R$11)))/12</f>
        <v>25619.6126235867</v>
      </c>
      <c r="N54" s="71" t="n">
        <f aca="false">RentRoll!$H$11*RentRoll!$P$11*(1+IF(RentRoll!$I$11="",RentGrowth+$B$48,RentRoll!$I$11))^(N$4-1)*(MAX(0,MIN(12*N$4,IF(RentRoll!$K$11="",99999,RentRoll!$K$11))-MAX(12*(N$4-1),RentRoll!$R$11))+RentRoll!$L$11*MAX(0,12*N$4-MAX(12*(N$4-1),IF(RentRoll!$K$11="",99999,RentRoll!$K$11),RentRoll!$R$11)))/12</f>
        <v>26644.3971285302</v>
      </c>
    </row>
    <row r="55" customFormat="false" ht="15" hidden="false" customHeight="false" outlineLevel="0" collapsed="false">
      <c r="A55" s="91" t="str">
        <f aca="false">RentRoll!B12</f>
        <v>Alamo Fireworks</v>
      </c>
      <c r="D55" s="71" t="n">
        <f aca="false">RentRoll!$H$12*RentRoll!$P$12*(1+IF(RentRoll!$I$12="",RentGrowth+$B$48,RentRoll!$I$12))^(D$4-1)*(MAX(0,MIN(12*D$4,IF(RentRoll!$K$12="",99999,RentRoll!$K$12))-MAX(12*(D$4-1),RentRoll!$R$12))+RentRoll!$L$12*MAX(0,12*D$4-MAX(12*(D$4-1),IF(RentRoll!$K$12="",99999,RentRoll!$K$12),RentRoll!$R$12)))/12</f>
        <v>8000</v>
      </c>
      <c r="E55" s="71" t="n">
        <f aca="false">RentRoll!$H$12*RentRoll!$P$12*(1+IF(RentRoll!$I$12="",RentGrowth+$B$48,RentRoll!$I$12))^(E$4-1)*(MAX(0,MIN(12*E$4,IF(RentRoll!$K$12="",99999,RentRoll!$K$12))-MAX(12*(E$4-1),RentRoll!$R$12))+RentRoll!$L$12*MAX(0,12*E$4-MAX(12*(E$4-1),IF(RentRoll!$K$12="",99999,RentRoll!$K$12),RentRoll!$R$12)))/12</f>
        <v>8320</v>
      </c>
      <c r="F55" s="71" t="n">
        <f aca="false">RentRoll!$H$12*RentRoll!$P$12*(1+IF(RentRoll!$I$12="",RentGrowth+$B$48,RentRoll!$I$12))^(F$4-1)*(MAX(0,MIN(12*F$4,IF(RentRoll!$K$12="",99999,RentRoll!$K$12))-MAX(12*(F$4-1),RentRoll!$R$12))+RentRoll!$L$12*MAX(0,12*F$4-MAX(12*(F$4-1),IF(RentRoll!$K$12="",99999,RentRoll!$K$12),RentRoll!$R$12)))/12</f>
        <v>8652.8</v>
      </c>
      <c r="G55" s="71" t="n">
        <f aca="false">RentRoll!$H$12*RentRoll!$P$12*(1+IF(RentRoll!$I$12="",RentGrowth+$B$48,RentRoll!$I$12))^(G$4-1)*(MAX(0,MIN(12*G$4,IF(RentRoll!$K$12="",99999,RentRoll!$K$12))-MAX(12*(G$4-1),RentRoll!$R$12))+RentRoll!$L$12*MAX(0,12*G$4-MAX(12*(G$4-1),IF(RentRoll!$K$12="",99999,RentRoll!$K$12),RentRoll!$R$12)))/12</f>
        <v>8998.912</v>
      </c>
      <c r="H55" s="71" t="n">
        <f aca="false">RentRoll!$H$12*RentRoll!$P$12*(1+IF(RentRoll!$I$12="",RentGrowth+$B$48,RentRoll!$I$12))^(H$4-1)*(MAX(0,MIN(12*H$4,IF(RentRoll!$K$12="",99999,RentRoll!$K$12))-MAX(12*(H$4-1),RentRoll!$R$12))+RentRoll!$L$12*MAX(0,12*H$4-MAX(12*(H$4-1),IF(RentRoll!$K$12="",99999,RentRoll!$K$12),RentRoll!$R$12)))/12</f>
        <v>9358.86848</v>
      </c>
      <c r="I55" s="71" t="n">
        <f aca="false">RentRoll!$H$12*RentRoll!$P$12*(1+IF(RentRoll!$I$12="",RentGrowth+$B$48,RentRoll!$I$12))^(I$4-1)*(MAX(0,MIN(12*I$4,IF(RentRoll!$K$12="",99999,RentRoll!$K$12))-MAX(12*(I$4-1),RentRoll!$R$12))+RentRoll!$L$12*MAX(0,12*I$4-MAX(12*(I$4-1),IF(RentRoll!$K$12="",99999,RentRoll!$K$12),RentRoll!$R$12)))/12</f>
        <v>9733.2232192</v>
      </c>
      <c r="J55" s="71" t="n">
        <f aca="false">RentRoll!$H$12*RentRoll!$P$12*(1+IF(RentRoll!$I$12="",RentGrowth+$B$48,RentRoll!$I$12))^(J$4-1)*(MAX(0,MIN(12*J$4,IF(RentRoll!$K$12="",99999,RentRoll!$K$12))-MAX(12*(J$4-1),RentRoll!$R$12))+RentRoll!$L$12*MAX(0,12*J$4-MAX(12*(J$4-1),IF(RentRoll!$K$12="",99999,RentRoll!$K$12),RentRoll!$R$12)))/12</f>
        <v>10122.552147968</v>
      </c>
      <c r="K55" s="71" t="n">
        <f aca="false">RentRoll!$H$12*RentRoll!$P$12*(1+IF(RentRoll!$I$12="",RentGrowth+$B$48,RentRoll!$I$12))^(K$4-1)*(MAX(0,MIN(12*K$4,IF(RentRoll!$K$12="",99999,RentRoll!$K$12))-MAX(12*(K$4-1),RentRoll!$R$12))+RentRoll!$L$12*MAX(0,12*K$4-MAX(12*(K$4-1),IF(RentRoll!$K$12="",99999,RentRoll!$K$12),RentRoll!$R$12)))/12</f>
        <v>10527.4542338867</v>
      </c>
      <c r="L55" s="71" t="n">
        <f aca="false">RentRoll!$H$12*RentRoll!$P$12*(1+IF(RentRoll!$I$12="",RentGrowth+$B$48,RentRoll!$I$12))^(L$4-1)*(MAX(0,MIN(12*L$4,IF(RentRoll!$K$12="",99999,RentRoll!$K$12))-MAX(12*(L$4-1),RentRoll!$R$12))+RentRoll!$L$12*MAX(0,12*L$4-MAX(12*(L$4-1),IF(RentRoll!$K$12="",99999,RentRoll!$K$12),RentRoll!$R$12)))/12</f>
        <v>10948.5524032422</v>
      </c>
      <c r="M55" s="71" t="n">
        <f aca="false">RentRoll!$H$12*RentRoll!$P$12*(1+IF(RentRoll!$I$12="",RentGrowth+$B$48,RentRoll!$I$12))^(M$4-1)*(MAX(0,MIN(12*M$4,IF(RentRoll!$K$12="",99999,RentRoll!$K$12))-MAX(12*(M$4-1),RentRoll!$R$12))+RentRoll!$L$12*MAX(0,12*M$4-MAX(12*(M$4-1),IF(RentRoll!$K$12="",99999,RentRoll!$K$12),RentRoll!$R$12)))/12</f>
        <v>11386.4944993719</v>
      </c>
      <c r="N55" s="71" t="n">
        <f aca="false">RentRoll!$H$12*RentRoll!$P$12*(1+IF(RentRoll!$I$12="",RentGrowth+$B$48,RentRoll!$I$12))^(N$4-1)*(MAX(0,MIN(12*N$4,IF(RentRoll!$K$12="",99999,RentRoll!$K$12))-MAX(12*(N$4-1),RentRoll!$R$12))+RentRoll!$L$12*MAX(0,12*N$4-MAX(12*(N$4-1),IF(RentRoll!$K$12="",99999,RentRoll!$K$12),RentRoll!$R$12)))/12</f>
        <v>11841.9542793468</v>
      </c>
    </row>
    <row r="56" customFormat="false" ht="15" hidden="false" customHeight="false" outlineLevel="0" collapsed="false">
      <c r="A56" s="91" t="str">
        <f aca="false">RentRoll!B13</f>
        <v>Prime expansion (+1 ac)</v>
      </c>
      <c r="D56" s="71" t="n">
        <f aca="false">RentRoll!$H$13*RentRoll!$P$13*(1+IF(RentRoll!$I$13="",RentGrowth+$B$48,RentRoll!$I$13))^(D$4-1)*(MAX(0,MIN(12*D$4,IF(RentRoll!$K$13="",99999,RentRoll!$K$13))-MAX(12*(D$4-1),RentRoll!$R$13))+RentRoll!$L$13*MAX(0,12*D$4-MAX(12*(D$4-1),IF(RentRoll!$K$13="",99999,RentRoll!$K$13),RentRoll!$R$13)))/12</f>
        <v>31500</v>
      </c>
      <c r="E56" s="71" t="n">
        <f aca="false">RentRoll!$H$13*RentRoll!$P$13*(1+IF(RentRoll!$I$13="",RentGrowth+$B$48,RentRoll!$I$13))^(E$4-1)*(MAX(0,MIN(12*E$4,IF(RentRoll!$K$13="",99999,RentRoll!$K$13))-MAX(12*(E$4-1),RentRoll!$R$13))+RentRoll!$L$13*MAX(0,12*E$4-MAX(12*(E$4-1),IF(RentRoll!$K$13="",99999,RentRoll!$K$13),RentRoll!$R$13)))/12</f>
        <v>43680</v>
      </c>
      <c r="F56" s="71" t="n">
        <f aca="false">RentRoll!$H$13*RentRoll!$P$13*(1+IF(RentRoll!$I$13="",RentGrowth+$B$48,RentRoll!$I$13))^(F$4-1)*(MAX(0,MIN(12*F$4,IF(RentRoll!$K$13="",99999,RentRoll!$K$13))-MAX(12*(F$4-1),RentRoll!$R$13))+RentRoll!$L$13*MAX(0,12*F$4-MAX(12*(F$4-1),IF(RentRoll!$K$13="",99999,RentRoll!$K$13),RentRoll!$R$13)))/12</f>
        <v>45427.2</v>
      </c>
      <c r="G56" s="71" t="n">
        <f aca="false">RentRoll!$H$13*RentRoll!$P$13*(1+IF(RentRoll!$I$13="",RentGrowth+$B$48,RentRoll!$I$13))^(G$4-1)*(MAX(0,MIN(12*G$4,IF(RentRoll!$K$13="",99999,RentRoll!$K$13))-MAX(12*(G$4-1),RentRoll!$R$13))+RentRoll!$L$13*MAX(0,12*G$4-MAX(12*(G$4-1),IF(RentRoll!$K$13="",99999,RentRoll!$K$13),RentRoll!$R$13)))/12</f>
        <v>47244.288</v>
      </c>
      <c r="H56" s="71" t="n">
        <f aca="false">RentRoll!$H$13*RentRoll!$P$13*(1+IF(RentRoll!$I$13="",RentGrowth+$B$48,RentRoll!$I$13))^(H$4-1)*(MAX(0,MIN(12*H$4,IF(RentRoll!$K$13="",99999,RentRoll!$K$13))-MAX(12*(H$4-1),RentRoll!$R$13))+RentRoll!$L$13*MAX(0,12*H$4-MAX(12*(H$4-1),IF(RentRoll!$K$13="",99999,RentRoll!$K$13),RentRoll!$R$13)))/12</f>
        <v>49134.05952</v>
      </c>
      <c r="I56" s="71" t="n">
        <f aca="false">RentRoll!$H$13*RentRoll!$P$13*(1+IF(RentRoll!$I$13="",RentGrowth+$B$48,RentRoll!$I$13))^(I$4-1)*(MAX(0,MIN(12*I$4,IF(RentRoll!$K$13="",99999,RentRoll!$K$13))-MAX(12*(I$4-1),RentRoll!$R$13))+RentRoll!$L$13*MAX(0,12*I$4-MAX(12*(I$4-1),IF(RentRoll!$K$13="",99999,RentRoll!$K$13),RentRoll!$R$13)))/12</f>
        <v>51099.4219008</v>
      </c>
      <c r="J56" s="71" t="n">
        <f aca="false">RentRoll!$H$13*RentRoll!$P$13*(1+IF(RentRoll!$I$13="",RentGrowth+$B$48,RentRoll!$I$13))^(J$4-1)*(MAX(0,MIN(12*J$4,IF(RentRoll!$K$13="",99999,RentRoll!$K$13))-MAX(12*(J$4-1),RentRoll!$R$13))+RentRoll!$L$13*MAX(0,12*J$4-MAX(12*(J$4-1),IF(RentRoll!$K$13="",99999,RentRoll!$K$13),RentRoll!$R$13)))/12</f>
        <v>53143.398776832</v>
      </c>
      <c r="K56" s="71" t="n">
        <f aca="false">RentRoll!$H$13*RentRoll!$P$13*(1+IF(RentRoll!$I$13="",RentGrowth+$B$48,RentRoll!$I$13))^(K$4-1)*(MAX(0,MIN(12*K$4,IF(RentRoll!$K$13="",99999,RentRoll!$K$13))-MAX(12*(K$4-1),RentRoll!$R$13))+RentRoll!$L$13*MAX(0,12*K$4-MAX(12*(K$4-1),IF(RentRoll!$K$13="",99999,RentRoll!$K$13),RentRoll!$R$13)))/12</f>
        <v>55269.1347279053</v>
      </c>
      <c r="L56" s="71" t="n">
        <f aca="false">RentRoll!$H$13*RentRoll!$P$13*(1+IF(RentRoll!$I$13="",RentGrowth+$B$48,RentRoll!$I$13))^(L$4-1)*(MAX(0,MIN(12*L$4,IF(RentRoll!$K$13="",99999,RentRoll!$K$13))-MAX(12*(L$4-1),RentRoll!$R$13))+RentRoll!$L$13*MAX(0,12*L$4-MAX(12*(L$4-1),IF(RentRoll!$K$13="",99999,RentRoll!$K$13),RentRoll!$R$13)))/12</f>
        <v>57479.9001170215</v>
      </c>
      <c r="M56" s="71" t="n">
        <f aca="false">RentRoll!$H$13*RentRoll!$P$13*(1+IF(RentRoll!$I$13="",RentGrowth+$B$48,RentRoll!$I$13))^(M$4-1)*(MAX(0,MIN(12*M$4,IF(RentRoll!$K$13="",99999,RentRoll!$K$13))-MAX(12*(M$4-1),RentRoll!$R$13))+RentRoll!$L$13*MAX(0,12*M$4-MAX(12*(M$4-1),IF(RentRoll!$K$13="",99999,RentRoll!$K$13),RentRoll!$R$13)))/12</f>
        <v>59779.0961217024</v>
      </c>
      <c r="N56" s="71" t="n">
        <f aca="false">RentRoll!$H$13*RentRoll!$P$13*(1+IF(RentRoll!$I$13="",RentGrowth+$B$48,RentRoll!$I$13))^(N$4-1)*(MAX(0,MIN(12*N$4,IF(RentRoll!$K$13="",99999,RentRoll!$K$13))-MAX(12*(N$4-1),RentRoll!$R$13))+RentRoll!$L$13*MAX(0,12*N$4-MAX(12*(N$4-1),IF(RentRoll!$K$13="",99999,RentRoll!$K$13),RentRoll!$R$13)))/12</f>
        <v>62170.2599665705</v>
      </c>
    </row>
    <row r="57" customFormat="false" ht="15" hidden="false" customHeight="false" outlineLevel="0" collapsed="false">
      <c r="A57" s="91" t="str">
        <f aca="false">RentRoll!B14</f>
        <v>Straight 6 expansion (~10 spots)</v>
      </c>
      <c r="D57" s="71" t="n">
        <f aca="false">RentRoll!$H$14*RentRoll!$P$14*(1+IF(RentRoll!$I$14="",RentGrowth+$B$48,RentRoll!$I$14))^(D$4-1)*(MAX(0,MIN(12*D$4,IF(RentRoll!$K$14="",99999,RentRoll!$K$14))-MAX(12*(D$4-1),RentRoll!$R$14))+RentRoll!$L$14*MAX(0,12*D$4-MAX(12*(D$4-1),IF(RentRoll!$K$14="",99999,RentRoll!$K$14),RentRoll!$R$14)))/12</f>
        <v>9000</v>
      </c>
      <c r="E57" s="71" t="n">
        <f aca="false">RentRoll!$H$14*RentRoll!$P$14*(1+IF(RentRoll!$I$14="",RentGrowth+$B$48,RentRoll!$I$14))^(E$4-1)*(MAX(0,MIN(12*E$4,IF(RentRoll!$K$14="",99999,RentRoll!$K$14))-MAX(12*(E$4-1),RentRoll!$R$14))+RentRoll!$L$14*MAX(0,12*E$4-MAX(12*(E$4-1),IF(RentRoll!$K$14="",99999,RentRoll!$K$14),RentRoll!$R$14)))/12</f>
        <v>12480</v>
      </c>
      <c r="F57" s="71" t="n">
        <f aca="false">RentRoll!$H$14*RentRoll!$P$14*(1+IF(RentRoll!$I$14="",RentGrowth+$B$48,RentRoll!$I$14))^(F$4-1)*(MAX(0,MIN(12*F$4,IF(RentRoll!$K$14="",99999,RentRoll!$K$14))-MAX(12*(F$4-1),RentRoll!$R$14))+RentRoll!$L$14*MAX(0,12*F$4-MAX(12*(F$4-1),IF(RentRoll!$K$14="",99999,RentRoll!$K$14),RentRoll!$R$14)))/12</f>
        <v>12979.2</v>
      </c>
      <c r="G57" s="71" t="n">
        <f aca="false">RentRoll!$H$14*RentRoll!$P$14*(1+IF(RentRoll!$I$14="",RentGrowth+$B$48,RentRoll!$I$14))^(G$4-1)*(MAX(0,MIN(12*G$4,IF(RentRoll!$K$14="",99999,RentRoll!$K$14))-MAX(12*(G$4-1),RentRoll!$R$14))+RentRoll!$L$14*MAX(0,12*G$4-MAX(12*(G$4-1),IF(RentRoll!$K$14="",99999,RentRoll!$K$14),RentRoll!$R$14)))/12</f>
        <v>13498.368</v>
      </c>
      <c r="H57" s="71" t="n">
        <f aca="false">RentRoll!$H$14*RentRoll!$P$14*(1+IF(RentRoll!$I$14="",RentGrowth+$B$48,RentRoll!$I$14))^(H$4-1)*(MAX(0,MIN(12*H$4,IF(RentRoll!$K$14="",99999,RentRoll!$K$14))-MAX(12*(H$4-1),RentRoll!$R$14))+RentRoll!$L$14*MAX(0,12*H$4-MAX(12*(H$4-1),IF(RentRoll!$K$14="",99999,RentRoll!$K$14),RentRoll!$R$14)))/12</f>
        <v>14038.30272</v>
      </c>
      <c r="I57" s="71" t="n">
        <f aca="false">RentRoll!$H$14*RentRoll!$P$14*(1+IF(RentRoll!$I$14="",RentGrowth+$B$48,RentRoll!$I$14))^(I$4-1)*(MAX(0,MIN(12*I$4,IF(RentRoll!$K$14="",99999,RentRoll!$K$14))-MAX(12*(I$4-1),RentRoll!$R$14))+RentRoll!$L$14*MAX(0,12*I$4-MAX(12*(I$4-1),IF(RentRoll!$K$14="",99999,RentRoll!$K$14),RentRoll!$R$14)))/12</f>
        <v>14599.8348288</v>
      </c>
      <c r="J57" s="71" t="n">
        <f aca="false">RentRoll!$H$14*RentRoll!$P$14*(1+IF(RentRoll!$I$14="",RentGrowth+$B$48,RentRoll!$I$14))^(J$4-1)*(MAX(0,MIN(12*J$4,IF(RentRoll!$K$14="",99999,RentRoll!$K$14))-MAX(12*(J$4-1),RentRoll!$R$14))+RentRoll!$L$14*MAX(0,12*J$4-MAX(12*(J$4-1),IF(RentRoll!$K$14="",99999,RentRoll!$K$14),RentRoll!$R$14)))/12</f>
        <v>15183.828221952</v>
      </c>
      <c r="K57" s="71" t="n">
        <f aca="false">RentRoll!$H$14*RentRoll!$P$14*(1+IF(RentRoll!$I$14="",RentGrowth+$B$48,RentRoll!$I$14))^(K$4-1)*(MAX(0,MIN(12*K$4,IF(RentRoll!$K$14="",99999,RentRoll!$K$14))-MAX(12*(K$4-1),RentRoll!$R$14))+RentRoll!$L$14*MAX(0,12*K$4-MAX(12*(K$4-1),IF(RentRoll!$K$14="",99999,RentRoll!$K$14),RentRoll!$R$14)))/12</f>
        <v>15791.1813508301</v>
      </c>
      <c r="L57" s="71" t="n">
        <f aca="false">RentRoll!$H$14*RentRoll!$P$14*(1+IF(RentRoll!$I$14="",RentGrowth+$B$48,RentRoll!$I$14))^(L$4-1)*(MAX(0,MIN(12*L$4,IF(RentRoll!$K$14="",99999,RentRoll!$K$14))-MAX(12*(L$4-1),RentRoll!$R$14))+RentRoll!$L$14*MAX(0,12*L$4-MAX(12*(L$4-1),IF(RentRoll!$K$14="",99999,RentRoll!$K$14),RentRoll!$R$14)))/12</f>
        <v>16422.8286048633</v>
      </c>
      <c r="M57" s="71" t="n">
        <f aca="false">RentRoll!$H$14*RentRoll!$P$14*(1+IF(RentRoll!$I$14="",RentGrowth+$B$48,RentRoll!$I$14))^(M$4-1)*(MAX(0,MIN(12*M$4,IF(RentRoll!$K$14="",99999,RentRoll!$K$14))-MAX(12*(M$4-1),RentRoll!$R$14))+RentRoll!$L$14*MAX(0,12*M$4-MAX(12*(M$4-1),IF(RentRoll!$K$14="",99999,RentRoll!$K$14),RentRoll!$R$14)))/12</f>
        <v>17079.7417490578</v>
      </c>
      <c r="N57" s="71" t="n">
        <f aca="false">RentRoll!$H$14*RentRoll!$P$14*(1+IF(RentRoll!$I$14="",RentGrowth+$B$48,RentRoll!$I$14))^(N$4-1)*(MAX(0,MIN(12*N$4,IF(RentRoll!$K$14="",99999,RentRoll!$K$14))-MAX(12*(N$4-1),RentRoll!$R$14))+RentRoll!$L$14*MAX(0,12*N$4-MAX(12*(N$4-1),IF(RentRoll!$K$14="",99999,RentRoll!$K$14),RentRoll!$R$14)))/12</f>
        <v>17762.9314190201</v>
      </c>
    </row>
    <row r="58" customFormat="false" ht="15" hidden="false" customHeight="false" outlineLevel="0" collapsed="false">
      <c r="A58" s="91" t="str">
        <f aca="false">RentRoll!B15</f>
        <v>Large tenant (~5.75 ac, in county)</v>
      </c>
      <c r="D58" s="71" t="n">
        <f aca="false">RentRoll!$H$15*RentRoll!$P$15*(1+IF(RentRoll!$I$15="",RentGrowth+$B$48,RentRoll!$I$15))^(D$4-1)*(MAX(0,MIN(12*D$4,IF(RentRoll!$K$15="",99999,RentRoll!$K$15))-MAX(12*(D$4-1),RentRoll!$R$15))+RentRoll!$L$15*MAX(0,12*D$4-MAX(12*(D$4-1),IF(RentRoll!$K$15="",99999,RentRoll!$K$15),RentRoll!$R$15)))/12</f>
        <v>0</v>
      </c>
      <c r="E58" s="71" t="n">
        <f aca="false">RentRoll!$H$15*RentRoll!$P$15*(1+IF(RentRoll!$I$15="",RentGrowth+$B$48,RentRoll!$I$15))^(E$4-1)*(MAX(0,MIN(12*E$4,IF(RentRoll!$K$15="",99999,RentRoll!$K$15))-MAX(12*(E$4-1),RentRoll!$R$15))+RentRoll!$L$15*MAX(0,12*E$4-MAX(12*(E$4-1),IF(RentRoll!$K$15="",99999,RentRoll!$K$15),RentRoll!$R$15)))/12</f>
        <v>0</v>
      </c>
      <c r="F58" s="71" t="n">
        <f aca="false">RentRoll!$H$15*RentRoll!$P$15*(1+IF(RentRoll!$I$15="",RentGrowth+$B$48,RentRoll!$I$15))^(F$4-1)*(MAX(0,MIN(12*F$4,IF(RentRoll!$K$15="",99999,RentRoll!$K$15))-MAX(12*(F$4-1),RentRoll!$R$15))+RentRoll!$L$15*MAX(0,12*F$4-MAX(12*(F$4-1),IF(RentRoll!$K$15="",99999,RentRoll!$K$15),RentRoll!$R$15)))/12</f>
        <v>0</v>
      </c>
      <c r="G58" s="71" t="n">
        <f aca="false">RentRoll!$H$15*RentRoll!$P$15*(1+IF(RentRoll!$I$15="",RentGrowth+$B$48,RentRoll!$I$15))^(G$4-1)*(MAX(0,MIN(12*G$4,IF(RentRoll!$K$15="",99999,RentRoll!$K$15))-MAX(12*(G$4-1),RentRoll!$R$15))+RentRoll!$L$15*MAX(0,12*G$4-MAX(12*(G$4-1),IF(RentRoll!$K$15="",99999,RentRoll!$K$15),RentRoll!$R$15)))/12</f>
        <v>0</v>
      </c>
      <c r="H58" s="71" t="n">
        <f aca="false">RentRoll!$H$15*RentRoll!$P$15*(1+IF(RentRoll!$I$15="",RentGrowth+$B$48,RentRoll!$I$15))^(H$4-1)*(MAX(0,MIN(12*H$4,IF(RentRoll!$K$15="",99999,RentRoll!$K$15))-MAX(12*(H$4-1),RentRoll!$R$15))+RentRoll!$L$15*MAX(0,12*H$4-MAX(12*(H$4-1),IF(RentRoll!$K$15="",99999,RentRoll!$K$15),RentRoll!$R$15)))/12</f>
        <v>0</v>
      </c>
      <c r="I58" s="71" t="n">
        <f aca="false">RentRoll!$H$15*RentRoll!$P$15*(1+IF(RentRoll!$I$15="",RentGrowth+$B$48,RentRoll!$I$15))^(I$4-1)*(MAX(0,MIN(12*I$4,IF(RentRoll!$K$15="",99999,RentRoll!$K$15))-MAX(12*(I$4-1),RentRoll!$R$15))+RentRoll!$L$15*MAX(0,12*I$4-MAX(12*(I$4-1),IF(RentRoll!$K$15="",99999,RentRoll!$K$15),RentRoll!$R$15)))/12</f>
        <v>0</v>
      </c>
      <c r="J58" s="71" t="n">
        <f aca="false">RentRoll!$H$15*RentRoll!$P$15*(1+IF(RentRoll!$I$15="",RentGrowth+$B$48,RentRoll!$I$15))^(J$4-1)*(MAX(0,MIN(12*J$4,IF(RentRoll!$K$15="",99999,RentRoll!$K$15))-MAX(12*(J$4-1),RentRoll!$R$15))+RentRoll!$L$15*MAX(0,12*J$4-MAX(12*(J$4-1),IF(RentRoll!$K$15="",99999,RentRoll!$K$15),RentRoll!$R$15)))/12</f>
        <v>0</v>
      </c>
      <c r="K58" s="71" t="n">
        <f aca="false">RentRoll!$H$15*RentRoll!$P$15*(1+IF(RentRoll!$I$15="",RentGrowth+$B$48,RentRoll!$I$15))^(K$4-1)*(MAX(0,MIN(12*K$4,IF(RentRoll!$K$15="",99999,RentRoll!$K$15))-MAX(12*(K$4-1),RentRoll!$R$15))+RentRoll!$L$15*MAX(0,12*K$4-MAX(12*(K$4-1),IF(RentRoll!$K$15="",99999,RentRoll!$K$15),RentRoll!$R$15)))/12</f>
        <v>0</v>
      </c>
      <c r="L58" s="71" t="n">
        <f aca="false">RentRoll!$H$15*RentRoll!$P$15*(1+IF(RentRoll!$I$15="",RentGrowth+$B$48,RentRoll!$I$15))^(L$4-1)*(MAX(0,MIN(12*L$4,IF(RentRoll!$K$15="",99999,RentRoll!$K$15))-MAX(12*(L$4-1),RentRoll!$R$15))+RentRoll!$L$15*MAX(0,12*L$4-MAX(12*(L$4-1),IF(RentRoll!$K$15="",99999,RentRoll!$K$15),RentRoll!$R$15)))/12</f>
        <v>0</v>
      </c>
      <c r="M58" s="71" t="n">
        <f aca="false">RentRoll!$H$15*RentRoll!$P$15*(1+IF(RentRoll!$I$15="",RentGrowth+$B$48,RentRoll!$I$15))^(M$4-1)*(MAX(0,MIN(12*M$4,IF(RentRoll!$K$15="",99999,RentRoll!$K$15))-MAX(12*(M$4-1),RentRoll!$R$15))+RentRoll!$L$15*MAX(0,12*M$4-MAX(12*(M$4-1),IF(RentRoll!$K$15="",99999,RentRoll!$K$15),RentRoll!$R$15)))/12</f>
        <v>0</v>
      </c>
      <c r="N58" s="71" t="n">
        <f aca="false">RentRoll!$H$15*RentRoll!$P$15*(1+IF(RentRoll!$I$15="",RentGrowth+$B$48,RentRoll!$I$15))^(N$4-1)*(MAX(0,MIN(12*N$4,IF(RentRoll!$K$15="",99999,RentRoll!$K$15))-MAX(12*(N$4-1),RentRoll!$R$15))+RentRoll!$L$15*MAX(0,12*N$4-MAX(12*(N$4-1),IF(RentRoll!$K$15="",99999,RentRoll!$K$15),RentRoll!$R$15)))/12</f>
        <v>0</v>
      </c>
    </row>
    <row r="59" customFormat="false" ht="15" hidden="false" customHeight="false" outlineLevel="0" collapsed="false">
      <c r="A59" s="79" t="s">
        <v>210</v>
      </c>
      <c r="D59" s="80" t="n">
        <f aca="false">SUM(D49:D58)</f>
        <v>457700</v>
      </c>
      <c r="E59" s="80" t="n">
        <f aca="false">SUM(E49:E58)</f>
        <v>488488</v>
      </c>
      <c r="F59" s="80" t="n">
        <f aca="false">SUM(F49:F58)</f>
        <v>497335.28</v>
      </c>
      <c r="G59" s="80" t="n">
        <f aca="false">SUM(G49:G58)</f>
        <v>515573.6872</v>
      </c>
      <c r="H59" s="80" t="n">
        <f aca="false">SUM(H49:H58)</f>
        <v>534491.980568</v>
      </c>
      <c r="I59" s="80" t="n">
        <f aca="false">SUM(I49:I58)</f>
        <v>526988.8527085</v>
      </c>
      <c r="J59" s="80" t="n">
        <f aca="false">SUM(J49:J58)</f>
        <v>546531.209394318</v>
      </c>
      <c r="K59" s="80" t="n">
        <f aca="false">SUM(K49:K58)</f>
        <v>566809.144424894</v>
      </c>
      <c r="L59" s="80" t="n">
        <f aca="false">SUM(L49:L58)</f>
        <v>587850.697456336</v>
      </c>
      <c r="M59" s="80" t="n">
        <f aca="false">SUM(M49:M58)</f>
        <v>609684.98822667</v>
      </c>
      <c r="N59" s="80" t="n">
        <f aca="false">SUM(N49:N58)</f>
        <v>632342.258513979</v>
      </c>
    </row>
    <row r="60" customFormat="false" ht="15" hidden="false" customHeight="false" outlineLevel="0" collapsed="false">
      <c r="A60" s="79" t="s">
        <v>46</v>
      </c>
      <c r="D60" s="80" t="n">
        <f aca="false">D59*(1-Vacancy)*(1-MgmtPct)+SUM(CashFlow!D24:D26)</f>
        <v>427815</v>
      </c>
      <c r="E60" s="80" t="n">
        <f aca="false">E59*(1-Vacancy)*(1-MgmtPct)+SUM(CashFlow!E24:E26)</f>
        <v>456853.6</v>
      </c>
      <c r="F60" s="80" t="n">
        <f aca="false">F59*(1-Vacancy)*(1-MgmtPct)+SUM(CashFlow!F24:F26)</f>
        <v>465042.216</v>
      </c>
      <c r="G60" s="80" t="n">
        <f aca="false">G59*(1-Vacancy)*(1-MgmtPct)+SUM(CashFlow!G24:G26)</f>
        <v>482145.91384</v>
      </c>
      <c r="H60" s="80" t="n">
        <f aca="false">H59*(1-Vacancy)*(1-MgmtPct)+SUM(CashFlow!H24:H26)</f>
        <v>499888.8198696</v>
      </c>
      <c r="I60" s="80" t="n">
        <f aca="false">I59*(1-Vacancy)*(1-MgmtPct)+SUM(CashFlow!I24:I26)</f>
        <v>492524.491552975</v>
      </c>
      <c r="J60" s="80" t="n">
        <f aca="false">J59*(1-Vacancy)*(1-MgmtPct)+SUM(CashFlow!J24:J26)</f>
        <v>510846.282848899</v>
      </c>
      <c r="K60" s="80" t="n">
        <f aca="false">K59*(1-Vacancy)*(1-MgmtPct)+SUM(CashFlow!K24:K26)</f>
        <v>529859.570145675</v>
      </c>
      <c r="L60" s="80" t="n">
        <f aca="false">L59*(1-Vacancy)*(1-MgmtPct)+SUM(CashFlow!L24:L26)</f>
        <v>549590.772013806</v>
      </c>
      <c r="M60" s="80" t="n">
        <f aca="false">M59*(1-Vacancy)*(1-MgmtPct)+SUM(CashFlow!M24:M26)</f>
        <v>570067.326528531</v>
      </c>
      <c r="N60" s="80" t="n">
        <f aca="false">N59*(1-Vacancy)*(1-MgmtPct)+SUM(CashFlow!N24:N26)</f>
        <v>591317.730932871</v>
      </c>
    </row>
    <row r="62" customFormat="false" ht="15" hidden="false" customHeight="false" outlineLevel="0" collapsed="false">
      <c r="A62" s="57" t="s">
        <v>272</v>
      </c>
      <c r="B62" s="102" t="n">
        <f aca="false">(4-2)*StepG</f>
        <v>0.02</v>
      </c>
      <c r="C62" s="57"/>
      <c r="D62" s="57"/>
      <c r="E62" s="57"/>
      <c r="F62" s="57"/>
      <c r="G62" s="57"/>
      <c r="H62" s="57"/>
      <c r="I62" s="57"/>
      <c r="J62" s="57"/>
      <c r="K62" s="57"/>
      <c r="L62" s="57"/>
      <c r="M62" s="57"/>
      <c r="N62" s="57"/>
    </row>
    <row r="63" customFormat="false" ht="15" hidden="false" customHeight="false" outlineLevel="0" collapsed="false">
      <c r="A63" s="91" t="str">
        <f aca="false">RentRoll!B6</f>
        <v>S&amp;A Leasing</v>
      </c>
      <c r="D63" s="71" t="n">
        <f aca="false">RentRoll!$H$6*RentRoll!$P$6*(1+IF(RentRoll!$I$6="",RentGrowth+$B$62,RentRoll!$I$6))^(D$4-1)*(MAX(0,MIN(12*D$4,IF(RentRoll!$K$6="",99999,RentRoll!$K$6))-MAX(12*(D$4-1),RentRoll!$R$6))+RentRoll!$L$6*MAX(0,12*D$4-MAX(12*(D$4-1),IF(RentRoll!$K$6="",99999,RentRoll!$K$6),RentRoll!$R$6)))/12</f>
        <v>156000</v>
      </c>
      <c r="E63" s="71" t="n">
        <f aca="false">RentRoll!$H$6*RentRoll!$P$6*(1+IF(RentRoll!$I$6="",RentGrowth+$B$62,RentRoll!$I$6))^(E$4-1)*(MAX(0,MIN(12*E$4,IF(RentRoll!$K$6="",99999,RentRoll!$K$6))-MAX(12*(E$4-1),RentRoll!$R$6))+RentRoll!$L$6*MAX(0,12*E$4-MAX(12*(E$4-1),IF(RentRoll!$K$6="",99999,RentRoll!$K$6),RentRoll!$R$6)))/12</f>
        <v>160680</v>
      </c>
      <c r="F63" s="71" t="n">
        <f aca="false">RentRoll!$H$6*RentRoll!$P$6*(1+IF(RentRoll!$I$6="",RentGrowth+$B$62,RentRoll!$I$6))^(F$4-1)*(MAX(0,MIN(12*F$4,IF(RentRoll!$K$6="",99999,RentRoll!$K$6))-MAX(12*(F$4-1),RentRoll!$R$6))+RentRoll!$L$6*MAX(0,12*F$4-MAX(12*(F$4-1),IF(RentRoll!$K$6="",99999,RentRoll!$K$6),RentRoll!$R$6)))/12</f>
        <v>165500.4</v>
      </c>
      <c r="G63" s="71" t="n">
        <f aca="false">RentRoll!$H$6*RentRoll!$P$6*(1+IF(RentRoll!$I$6="",RentGrowth+$B$62,RentRoll!$I$6))^(G$4-1)*(MAX(0,MIN(12*G$4,IF(RentRoll!$K$6="",99999,RentRoll!$K$6))-MAX(12*(G$4-1),RentRoll!$R$6))+RentRoll!$L$6*MAX(0,12*G$4-MAX(12*(G$4-1),IF(RentRoll!$K$6="",99999,RentRoll!$K$6),RentRoll!$R$6)))/12</f>
        <v>170465.412</v>
      </c>
      <c r="H63" s="71" t="n">
        <f aca="false">RentRoll!$H$6*RentRoll!$P$6*(1+IF(RentRoll!$I$6="",RentGrowth+$B$62,RentRoll!$I$6))^(H$4-1)*(MAX(0,MIN(12*H$4,IF(RentRoll!$K$6="",99999,RentRoll!$K$6))-MAX(12*(H$4-1),RentRoll!$R$6))+RentRoll!$L$6*MAX(0,12*H$4-MAX(12*(H$4-1),IF(RentRoll!$K$6="",99999,RentRoll!$K$6),RentRoll!$R$6)))/12</f>
        <v>175579.37436</v>
      </c>
      <c r="I63" s="71" t="n">
        <f aca="false">RentRoll!$H$6*RentRoll!$P$6*(1+IF(RentRoll!$I$6="",RentGrowth+$B$62,RentRoll!$I$6))^(I$4-1)*(MAX(0,MIN(12*I$4,IF(RentRoll!$K$6="",99999,RentRoll!$K$6))-MAX(12*(I$4-1),RentRoll!$R$6))+RentRoll!$L$6*MAX(0,12*I$4-MAX(12*(I$4-1),IF(RentRoll!$K$6="",99999,RentRoll!$K$6),RentRoll!$R$6)))/12</f>
        <v>153719.74225218</v>
      </c>
      <c r="J63" s="71" t="n">
        <f aca="false">RentRoll!$H$6*RentRoll!$P$6*(1+IF(RentRoll!$I$6="",RentGrowth+$B$62,RentRoll!$I$6))^(J$4-1)*(MAX(0,MIN(12*J$4,IF(RentRoll!$K$6="",99999,RentRoll!$K$6))-MAX(12*(J$4-1),RentRoll!$R$6))+RentRoll!$L$6*MAX(0,12*J$4-MAX(12*(J$4-1),IF(RentRoll!$K$6="",99999,RentRoll!$K$6),RentRoll!$R$6)))/12</f>
        <v>158331.334519745</v>
      </c>
      <c r="K63" s="71" t="n">
        <f aca="false">RentRoll!$H$6*RentRoll!$P$6*(1+IF(RentRoll!$I$6="",RentGrowth+$B$62,RentRoll!$I$6))^(K$4-1)*(MAX(0,MIN(12*K$4,IF(RentRoll!$K$6="",99999,RentRoll!$K$6))-MAX(12*(K$4-1),RentRoll!$R$6))+RentRoll!$L$6*MAX(0,12*K$4-MAX(12*(K$4-1),IF(RentRoll!$K$6="",99999,RentRoll!$K$6),RentRoll!$R$6)))/12</f>
        <v>163081.274555338</v>
      </c>
      <c r="L63" s="71" t="n">
        <f aca="false">RentRoll!$H$6*RentRoll!$P$6*(1+IF(RentRoll!$I$6="",RentGrowth+$B$62,RentRoll!$I$6))^(L$4-1)*(MAX(0,MIN(12*L$4,IF(RentRoll!$K$6="",99999,RentRoll!$K$6))-MAX(12*(L$4-1),RentRoll!$R$6))+RentRoll!$L$6*MAX(0,12*L$4-MAX(12*(L$4-1),IF(RentRoll!$K$6="",99999,RentRoll!$K$6),RentRoll!$R$6)))/12</f>
        <v>167973.712791998</v>
      </c>
      <c r="M63" s="71" t="n">
        <f aca="false">RentRoll!$H$6*RentRoll!$P$6*(1+IF(RentRoll!$I$6="",RentGrowth+$B$62,RentRoll!$I$6))^(M$4-1)*(MAX(0,MIN(12*M$4,IF(RentRoll!$K$6="",99999,RentRoll!$K$6))-MAX(12*(M$4-1),RentRoll!$R$6))+RentRoll!$L$6*MAX(0,12*M$4-MAX(12*(M$4-1),IF(RentRoll!$K$6="",99999,RentRoll!$K$6),RentRoll!$R$6)))/12</f>
        <v>173012.924175758</v>
      </c>
      <c r="N63" s="71" t="n">
        <f aca="false">RentRoll!$H$6*RentRoll!$P$6*(1+IF(RentRoll!$I$6="",RentGrowth+$B$62,RentRoll!$I$6))^(N$4-1)*(MAX(0,MIN(12*N$4,IF(RentRoll!$K$6="",99999,RentRoll!$K$6))-MAX(12*(N$4-1),RentRoll!$R$6))+RentRoll!$L$6*MAX(0,12*N$4-MAX(12*(N$4-1),IF(RentRoll!$K$6="",99999,RentRoll!$K$6),RentRoll!$R$6)))/12</f>
        <v>178203.311901031</v>
      </c>
    </row>
    <row r="64" customFormat="false" ht="15" hidden="false" customHeight="false" outlineLevel="0" collapsed="false">
      <c r="A64" s="91" t="str">
        <f aca="false">RentRoll!B7</f>
        <v>Reindeer (Prime)</v>
      </c>
      <c r="D64" s="71" t="n">
        <f aca="false">RentRoll!$H$7*RentRoll!$P$7*(1+IF(RentRoll!$I$7="",RentGrowth+$B$62,RentRoll!$I$7))^(D$4-1)*(MAX(0,MIN(12*D$4,IF(RentRoll!$K$7="",99999,RentRoll!$K$7))-MAX(12*(D$4-1),RentRoll!$R$7))+RentRoll!$L$7*MAX(0,12*D$4-MAX(12*(D$4-1),IF(RentRoll!$K$7="",99999,RentRoll!$K$7),RentRoll!$R$7)))/12</f>
        <v>84000</v>
      </c>
      <c r="E64" s="71" t="n">
        <f aca="false">RentRoll!$H$7*RentRoll!$P$7*(1+IF(RentRoll!$I$7="",RentGrowth+$B$62,RentRoll!$I$7))^(E$4-1)*(MAX(0,MIN(12*E$4,IF(RentRoll!$K$7="",99999,RentRoll!$K$7))-MAX(12*(E$4-1),RentRoll!$R$7))+RentRoll!$L$7*MAX(0,12*E$4-MAX(12*(E$4-1),IF(RentRoll!$K$7="",99999,RentRoll!$K$7),RentRoll!$R$7)))/12</f>
        <v>88200</v>
      </c>
      <c r="F64" s="71" t="n">
        <f aca="false">RentRoll!$H$7*RentRoll!$P$7*(1+IF(RentRoll!$I$7="",RentGrowth+$B$62,RentRoll!$I$7))^(F$4-1)*(MAX(0,MIN(12*F$4,IF(RentRoll!$K$7="",99999,RentRoll!$K$7))-MAX(12*(F$4-1),RentRoll!$R$7))+RentRoll!$L$7*MAX(0,12*F$4-MAX(12*(F$4-1),IF(RentRoll!$K$7="",99999,RentRoll!$K$7),RentRoll!$R$7)))/12</f>
        <v>83349</v>
      </c>
      <c r="G64" s="71" t="n">
        <f aca="false">RentRoll!$H$7*RentRoll!$P$7*(1+IF(RentRoll!$I$7="",RentGrowth+$B$62,RentRoll!$I$7))^(G$4-1)*(MAX(0,MIN(12*G$4,IF(RentRoll!$K$7="",99999,RentRoll!$K$7))-MAX(12*(G$4-1),RentRoll!$R$7))+RentRoll!$L$7*MAX(0,12*G$4-MAX(12*(G$4-1),IF(RentRoll!$K$7="",99999,RentRoll!$K$7),RentRoll!$R$7)))/12</f>
        <v>87516.45</v>
      </c>
      <c r="H64" s="71" t="n">
        <f aca="false">RentRoll!$H$7*RentRoll!$P$7*(1+IF(RentRoll!$I$7="",RentGrowth+$B$62,RentRoll!$I$7))^(H$4-1)*(MAX(0,MIN(12*H$4,IF(RentRoll!$K$7="",99999,RentRoll!$K$7))-MAX(12*(H$4-1),RentRoll!$R$7))+RentRoll!$L$7*MAX(0,12*H$4-MAX(12*(H$4-1),IF(RentRoll!$K$7="",99999,RentRoll!$K$7),RentRoll!$R$7)))/12</f>
        <v>91892.2725</v>
      </c>
      <c r="I64" s="71" t="n">
        <f aca="false">RentRoll!$H$7*RentRoll!$P$7*(1+IF(RentRoll!$I$7="",RentGrowth+$B$62,RentRoll!$I$7))^(I$4-1)*(MAX(0,MIN(12*I$4,IF(RentRoll!$K$7="",99999,RentRoll!$K$7))-MAX(12*(I$4-1),RentRoll!$R$7))+RentRoll!$L$7*MAX(0,12*I$4-MAX(12*(I$4-1),IF(RentRoll!$K$7="",99999,RentRoll!$K$7),RentRoll!$R$7)))/12</f>
        <v>96486.886125</v>
      </c>
      <c r="J64" s="71" t="n">
        <f aca="false">RentRoll!$H$7*RentRoll!$P$7*(1+IF(RentRoll!$I$7="",RentGrowth+$B$62,RentRoll!$I$7))^(J$4-1)*(MAX(0,MIN(12*J$4,IF(RentRoll!$K$7="",99999,RentRoll!$K$7))-MAX(12*(J$4-1),RentRoll!$R$7))+RentRoll!$L$7*MAX(0,12*J$4-MAX(12*(J$4-1),IF(RentRoll!$K$7="",99999,RentRoll!$K$7),RentRoll!$R$7)))/12</f>
        <v>101311.23043125</v>
      </c>
      <c r="K64" s="71" t="n">
        <f aca="false">RentRoll!$H$7*RentRoll!$P$7*(1+IF(RentRoll!$I$7="",RentGrowth+$B$62,RentRoll!$I$7))^(K$4-1)*(MAX(0,MIN(12*K$4,IF(RentRoll!$K$7="",99999,RentRoll!$K$7))-MAX(12*(K$4-1),RentRoll!$R$7))+RentRoll!$L$7*MAX(0,12*K$4-MAX(12*(K$4-1),IF(RentRoll!$K$7="",99999,RentRoll!$K$7),RentRoll!$R$7)))/12</f>
        <v>106376.791952813</v>
      </c>
      <c r="L64" s="71" t="n">
        <f aca="false">RentRoll!$H$7*RentRoll!$P$7*(1+IF(RentRoll!$I$7="",RentGrowth+$B$62,RentRoll!$I$7))^(L$4-1)*(MAX(0,MIN(12*L$4,IF(RentRoll!$K$7="",99999,RentRoll!$K$7))-MAX(12*(L$4-1),RentRoll!$R$7))+RentRoll!$L$7*MAX(0,12*L$4-MAX(12*(L$4-1),IF(RentRoll!$K$7="",99999,RentRoll!$K$7),RentRoll!$R$7)))/12</f>
        <v>111695.631550453</v>
      </c>
      <c r="M64" s="71" t="n">
        <f aca="false">RentRoll!$H$7*RentRoll!$P$7*(1+IF(RentRoll!$I$7="",RentGrowth+$B$62,RentRoll!$I$7))^(M$4-1)*(MAX(0,MIN(12*M$4,IF(RentRoll!$K$7="",99999,RentRoll!$K$7))-MAX(12*(M$4-1),RentRoll!$R$7))+RentRoll!$L$7*MAX(0,12*M$4-MAX(12*(M$4-1),IF(RentRoll!$K$7="",99999,RentRoll!$K$7),RentRoll!$R$7)))/12</f>
        <v>117280.413127976</v>
      </c>
      <c r="N64" s="71" t="n">
        <f aca="false">RentRoll!$H$7*RentRoll!$P$7*(1+IF(RentRoll!$I$7="",RentGrowth+$B$62,RentRoll!$I$7))^(N$4-1)*(MAX(0,MIN(12*N$4,IF(RentRoll!$K$7="",99999,RentRoll!$K$7))-MAX(12*(N$4-1),RentRoll!$R$7))+RentRoll!$L$7*MAX(0,12*N$4-MAX(12*(N$4-1),IF(RentRoll!$K$7="",99999,RentRoll!$K$7),RentRoll!$R$7)))/12</f>
        <v>123144.433784375</v>
      </c>
    </row>
    <row r="65" customFormat="false" ht="15" hidden="false" customHeight="false" outlineLevel="0" collapsed="false">
      <c r="A65" s="91" t="str">
        <f aca="false">RentRoll!B8</f>
        <v>Straight 6</v>
      </c>
      <c r="D65" s="71" t="n">
        <f aca="false">RentRoll!$H$8*RentRoll!$P$8*(1+IF(RentRoll!$I$8="",RentGrowth+$B$62,RentRoll!$I$8))^(D$4-1)*(MAX(0,MIN(12*D$4,IF(RentRoll!$K$8="",99999,RentRoll!$K$8))-MAX(12*(D$4-1),RentRoll!$R$8))+RentRoll!$L$8*MAX(0,12*D$4-MAX(12*(D$4-1),IF(RentRoll!$K$8="",99999,RentRoll!$K$8),RentRoll!$R$8)))/12</f>
        <v>78000</v>
      </c>
      <c r="E65" s="71" t="n">
        <f aca="false">RentRoll!$H$8*RentRoll!$P$8*(1+IF(RentRoll!$I$8="",RentGrowth+$B$62,RentRoll!$I$8))^(E$4-1)*(MAX(0,MIN(12*E$4,IF(RentRoll!$K$8="",99999,RentRoll!$K$8))-MAX(12*(E$4-1),RentRoll!$R$8))+RentRoll!$L$8*MAX(0,12*E$4-MAX(12*(E$4-1),IF(RentRoll!$K$8="",99999,RentRoll!$K$8),RentRoll!$R$8)))/12</f>
        <v>81900</v>
      </c>
      <c r="F65" s="71" t="n">
        <f aca="false">RentRoll!$H$8*RentRoll!$P$8*(1+IF(RentRoll!$I$8="",RentGrowth+$B$62,RentRoll!$I$8))^(F$4-1)*(MAX(0,MIN(12*F$4,IF(RentRoll!$K$8="",99999,RentRoll!$K$8))-MAX(12*(F$4-1),RentRoll!$R$8))+RentRoll!$L$8*MAX(0,12*F$4-MAX(12*(F$4-1),IF(RentRoll!$K$8="",99999,RentRoll!$K$8),RentRoll!$R$8)))/12</f>
        <v>85995</v>
      </c>
      <c r="G65" s="71" t="n">
        <f aca="false">RentRoll!$H$8*RentRoll!$P$8*(1+IF(RentRoll!$I$8="",RentGrowth+$B$62,RentRoll!$I$8))^(G$4-1)*(MAX(0,MIN(12*G$4,IF(RentRoll!$K$8="",99999,RentRoll!$K$8))-MAX(12*(G$4-1),RentRoll!$R$8))+RentRoll!$L$8*MAX(0,12*G$4-MAX(12*(G$4-1),IF(RentRoll!$K$8="",99999,RentRoll!$K$8),RentRoll!$R$8)))/12</f>
        <v>90294.75</v>
      </c>
      <c r="H65" s="71" t="n">
        <f aca="false">RentRoll!$H$8*RentRoll!$P$8*(1+IF(RentRoll!$I$8="",RentGrowth+$B$62,RentRoll!$I$8))^(H$4-1)*(MAX(0,MIN(12*H$4,IF(RentRoll!$K$8="",99999,RentRoll!$K$8))-MAX(12*(H$4-1),RentRoll!$R$8))+RentRoll!$L$8*MAX(0,12*H$4-MAX(12*(H$4-1),IF(RentRoll!$K$8="",99999,RentRoll!$K$8),RentRoll!$R$8)))/12</f>
        <v>94809.4875</v>
      </c>
      <c r="I65" s="71" t="n">
        <f aca="false">RentRoll!$H$8*RentRoll!$P$8*(1+IF(RentRoll!$I$8="",RentGrowth+$B$62,RentRoll!$I$8))^(I$4-1)*(MAX(0,MIN(12*I$4,IF(RentRoll!$K$8="",99999,RentRoll!$K$8))-MAX(12*(I$4-1),RentRoll!$R$8))+RentRoll!$L$8*MAX(0,12*I$4-MAX(12*(I$4-1),IF(RentRoll!$K$8="",99999,RentRoll!$K$8),RentRoll!$R$8)))/12</f>
        <v>99549.961875</v>
      </c>
      <c r="J65" s="71" t="n">
        <f aca="false">RentRoll!$H$8*RentRoll!$P$8*(1+IF(RentRoll!$I$8="",RentGrowth+$B$62,RentRoll!$I$8))^(J$4-1)*(MAX(0,MIN(12*J$4,IF(RentRoll!$K$8="",99999,RentRoll!$K$8))-MAX(12*(J$4-1),RentRoll!$R$8))+RentRoll!$L$8*MAX(0,12*J$4-MAX(12*(J$4-1),IF(RentRoll!$K$8="",99999,RentRoll!$K$8),RentRoll!$R$8)))/12</f>
        <v>104527.45996875</v>
      </c>
      <c r="K65" s="71" t="n">
        <f aca="false">RentRoll!$H$8*RentRoll!$P$8*(1+IF(RentRoll!$I$8="",RentGrowth+$B$62,RentRoll!$I$8))^(K$4-1)*(MAX(0,MIN(12*K$4,IF(RentRoll!$K$8="",99999,RentRoll!$K$8))-MAX(12*(K$4-1),RentRoll!$R$8))+RentRoll!$L$8*MAX(0,12*K$4-MAX(12*(K$4-1),IF(RentRoll!$K$8="",99999,RentRoll!$K$8),RentRoll!$R$8)))/12</f>
        <v>109753.832967188</v>
      </c>
      <c r="L65" s="71" t="n">
        <f aca="false">RentRoll!$H$8*RentRoll!$P$8*(1+IF(RentRoll!$I$8="",RentGrowth+$B$62,RentRoll!$I$8))^(L$4-1)*(MAX(0,MIN(12*L$4,IF(RentRoll!$K$8="",99999,RentRoll!$K$8))-MAX(12*(L$4-1),RentRoll!$R$8))+RentRoll!$L$8*MAX(0,12*L$4-MAX(12*(L$4-1),IF(RentRoll!$K$8="",99999,RentRoll!$K$8),RentRoll!$R$8)))/12</f>
        <v>115241.524615547</v>
      </c>
      <c r="M65" s="71" t="n">
        <f aca="false">RentRoll!$H$8*RentRoll!$P$8*(1+IF(RentRoll!$I$8="",RentGrowth+$B$62,RentRoll!$I$8))^(M$4-1)*(MAX(0,MIN(12*M$4,IF(RentRoll!$K$8="",99999,RentRoll!$K$8))-MAX(12*(M$4-1),RentRoll!$R$8))+RentRoll!$L$8*MAX(0,12*M$4-MAX(12*(M$4-1),IF(RentRoll!$K$8="",99999,RentRoll!$K$8),RentRoll!$R$8)))/12</f>
        <v>121003.600846324</v>
      </c>
      <c r="N65" s="71" t="n">
        <f aca="false">RentRoll!$H$8*RentRoll!$P$8*(1+IF(RentRoll!$I$8="",RentGrowth+$B$62,RentRoll!$I$8))^(N$4-1)*(MAX(0,MIN(12*N$4,IF(RentRoll!$K$8="",99999,RentRoll!$K$8))-MAX(12*(N$4-1),RentRoll!$R$8))+RentRoll!$L$8*MAX(0,12*N$4-MAX(12*(N$4-1),IF(RentRoll!$K$8="",99999,RentRoll!$K$8),RentRoll!$R$8)))/12</f>
        <v>127053.78088864</v>
      </c>
    </row>
    <row r="66" customFormat="false" ht="15" hidden="false" customHeight="false" outlineLevel="0" collapsed="false">
      <c r="A66" s="91" t="str">
        <f aca="false">RentRoll!B9</f>
        <v>Big Dawgs (repo)</v>
      </c>
      <c r="D66" s="71" t="n">
        <f aca="false">RentRoll!$H$9*RentRoll!$P$9*(1+IF(RentRoll!$I$9="",RentGrowth+$B$62,RentRoll!$I$9))^(D$4-1)*(MAX(0,MIN(12*D$4,IF(RentRoll!$K$9="",99999,RentRoll!$K$9))-MAX(12*(D$4-1),RentRoll!$R$9))+RentRoll!$L$9*MAX(0,12*D$4-MAX(12*(D$4-1),IF(RentRoll!$K$9="",99999,RentRoll!$K$9),RentRoll!$R$9)))/12</f>
        <v>48000</v>
      </c>
      <c r="E66" s="71" t="n">
        <f aca="false">RentRoll!$H$9*RentRoll!$P$9*(1+IF(RentRoll!$I$9="",RentGrowth+$B$62,RentRoll!$I$9))^(E$4-1)*(MAX(0,MIN(12*E$4,IF(RentRoll!$K$9="",99999,RentRoll!$K$9))-MAX(12*(E$4-1),RentRoll!$R$9))+RentRoll!$L$9*MAX(0,12*E$4-MAX(12*(E$4-1),IF(RentRoll!$K$9="",99999,RentRoll!$K$9),RentRoll!$R$9)))/12</f>
        <v>50400</v>
      </c>
      <c r="F66" s="71" t="n">
        <f aca="false">RentRoll!$H$9*RentRoll!$P$9*(1+IF(RentRoll!$I$9="",RentGrowth+$B$62,RentRoll!$I$9))^(F$4-1)*(MAX(0,MIN(12*F$4,IF(RentRoll!$K$9="",99999,RentRoll!$K$9))-MAX(12*(F$4-1),RentRoll!$R$9))+RentRoll!$L$9*MAX(0,12*F$4-MAX(12*(F$4-1),IF(RentRoll!$K$9="",99999,RentRoll!$K$9),RentRoll!$R$9)))/12</f>
        <v>52920</v>
      </c>
      <c r="G66" s="71" t="n">
        <f aca="false">RentRoll!$H$9*RentRoll!$P$9*(1+IF(RentRoll!$I$9="",RentGrowth+$B$62,RentRoll!$I$9))^(G$4-1)*(MAX(0,MIN(12*G$4,IF(RentRoll!$K$9="",99999,RentRoll!$K$9))-MAX(12*(G$4-1),RentRoll!$R$9))+RentRoll!$L$9*MAX(0,12*G$4-MAX(12*(G$4-1),IF(RentRoll!$K$9="",99999,RentRoll!$K$9),RentRoll!$R$9)))/12</f>
        <v>55566</v>
      </c>
      <c r="H66" s="71" t="n">
        <f aca="false">RentRoll!$H$9*RentRoll!$P$9*(1+IF(RentRoll!$I$9="",RentGrowth+$B$62,RentRoll!$I$9))^(H$4-1)*(MAX(0,MIN(12*H$4,IF(RentRoll!$K$9="",99999,RentRoll!$K$9))-MAX(12*(H$4-1),RentRoll!$R$9))+RentRoll!$L$9*MAX(0,12*H$4-MAX(12*(H$4-1),IF(RentRoll!$K$9="",99999,RentRoll!$K$9),RentRoll!$R$9)))/12</f>
        <v>58344.3</v>
      </c>
      <c r="I66" s="71" t="n">
        <f aca="false">RentRoll!$H$9*RentRoll!$P$9*(1+IF(RentRoll!$I$9="",RentGrowth+$B$62,RentRoll!$I$9))^(I$4-1)*(MAX(0,MIN(12*I$4,IF(RentRoll!$K$9="",99999,RentRoll!$K$9))-MAX(12*(I$4-1),RentRoll!$R$9))+RentRoll!$L$9*MAX(0,12*I$4-MAX(12*(I$4-1),IF(RentRoll!$K$9="",99999,RentRoll!$K$9),RentRoll!$R$9)))/12</f>
        <v>61261.515</v>
      </c>
      <c r="J66" s="71" t="n">
        <f aca="false">RentRoll!$H$9*RentRoll!$P$9*(1+IF(RentRoll!$I$9="",RentGrowth+$B$62,RentRoll!$I$9))^(J$4-1)*(MAX(0,MIN(12*J$4,IF(RentRoll!$K$9="",99999,RentRoll!$K$9))-MAX(12*(J$4-1),RentRoll!$R$9))+RentRoll!$L$9*MAX(0,12*J$4-MAX(12*(J$4-1),IF(RentRoll!$K$9="",99999,RentRoll!$K$9),RentRoll!$R$9)))/12</f>
        <v>64324.59075</v>
      </c>
      <c r="K66" s="71" t="n">
        <f aca="false">RentRoll!$H$9*RentRoll!$P$9*(1+IF(RentRoll!$I$9="",RentGrowth+$B$62,RentRoll!$I$9))^(K$4-1)*(MAX(0,MIN(12*K$4,IF(RentRoll!$K$9="",99999,RentRoll!$K$9))-MAX(12*(K$4-1),RentRoll!$R$9))+RentRoll!$L$9*MAX(0,12*K$4-MAX(12*(K$4-1),IF(RentRoll!$K$9="",99999,RentRoll!$K$9),RentRoll!$R$9)))/12</f>
        <v>67540.8202875</v>
      </c>
      <c r="L66" s="71" t="n">
        <f aca="false">RentRoll!$H$9*RentRoll!$P$9*(1+IF(RentRoll!$I$9="",RentGrowth+$B$62,RentRoll!$I$9))^(L$4-1)*(MAX(0,MIN(12*L$4,IF(RentRoll!$K$9="",99999,RentRoll!$K$9))-MAX(12*(L$4-1),RentRoll!$R$9))+RentRoll!$L$9*MAX(0,12*L$4-MAX(12*(L$4-1),IF(RentRoll!$K$9="",99999,RentRoll!$K$9),RentRoll!$R$9)))/12</f>
        <v>70917.861301875</v>
      </c>
      <c r="M66" s="71" t="n">
        <f aca="false">RentRoll!$H$9*RentRoll!$P$9*(1+IF(RentRoll!$I$9="",RentGrowth+$B$62,RentRoll!$I$9))^(M$4-1)*(MAX(0,MIN(12*M$4,IF(RentRoll!$K$9="",99999,RentRoll!$K$9))-MAX(12*(M$4-1),RentRoll!$R$9))+RentRoll!$L$9*MAX(0,12*M$4-MAX(12*(M$4-1),IF(RentRoll!$K$9="",99999,RentRoll!$K$9),RentRoll!$R$9)))/12</f>
        <v>74463.7543669688</v>
      </c>
      <c r="N66" s="71" t="n">
        <f aca="false">RentRoll!$H$9*RentRoll!$P$9*(1+IF(RentRoll!$I$9="",RentGrowth+$B$62,RentRoll!$I$9))^(N$4-1)*(MAX(0,MIN(12*N$4,IF(RentRoll!$K$9="",99999,RentRoll!$K$9))-MAX(12*(N$4-1),RentRoll!$R$9))+RentRoll!$L$9*MAX(0,12*N$4-MAX(12*(N$4-1),IF(RentRoll!$K$9="",99999,RentRoll!$K$9),RentRoll!$R$9)))/12</f>
        <v>78186.9420853172</v>
      </c>
    </row>
    <row r="67" customFormat="false" ht="15" hidden="false" customHeight="false" outlineLevel="0" collapsed="false">
      <c r="A67" s="91" t="str">
        <f aca="false">RentRoll!B10</f>
        <v>Individual tenants (various)</v>
      </c>
      <c r="D67" s="71" t="n">
        <f aca="false">RentRoll!$H$10*RentRoll!$P$10*(1+IF(RentRoll!$I$10="",RentGrowth+$B$62,RentRoll!$I$10))^(D$4-1)*(MAX(0,MIN(12*D$4,IF(RentRoll!$K$10="",99999,RentRoll!$K$10))-MAX(12*(D$4-1),RentRoll!$R$10))+RentRoll!$L$10*MAX(0,12*D$4-MAX(12*(D$4-1),IF(RentRoll!$K$10="",99999,RentRoll!$K$10),RentRoll!$R$10)))/12</f>
        <v>25200</v>
      </c>
      <c r="E67" s="71" t="n">
        <f aca="false">RentRoll!$H$10*RentRoll!$P$10*(1+IF(RentRoll!$I$10="",RentGrowth+$B$62,RentRoll!$I$10))^(E$4-1)*(MAX(0,MIN(12*E$4,IF(RentRoll!$K$10="",99999,RentRoll!$K$10))-MAX(12*(E$4-1),RentRoll!$R$10))+RentRoll!$L$10*MAX(0,12*E$4-MAX(12*(E$4-1),IF(RentRoll!$K$10="",99999,RentRoll!$K$10),RentRoll!$R$10)))/12</f>
        <v>26460</v>
      </c>
      <c r="F67" s="71" t="n">
        <f aca="false">RentRoll!$H$10*RentRoll!$P$10*(1+IF(RentRoll!$I$10="",RentGrowth+$B$62,RentRoll!$I$10))^(F$4-1)*(MAX(0,MIN(12*F$4,IF(RentRoll!$K$10="",99999,RentRoll!$K$10))-MAX(12*(F$4-1),RentRoll!$R$10))+RentRoll!$L$10*MAX(0,12*F$4-MAX(12*(F$4-1),IF(RentRoll!$K$10="",99999,RentRoll!$K$10),RentRoll!$R$10)))/12</f>
        <v>27783</v>
      </c>
      <c r="G67" s="71" t="n">
        <f aca="false">RentRoll!$H$10*RentRoll!$P$10*(1+IF(RentRoll!$I$10="",RentGrowth+$B$62,RentRoll!$I$10))^(G$4-1)*(MAX(0,MIN(12*G$4,IF(RentRoll!$K$10="",99999,RentRoll!$K$10))-MAX(12*(G$4-1),RentRoll!$R$10))+RentRoll!$L$10*MAX(0,12*G$4-MAX(12*(G$4-1),IF(RentRoll!$K$10="",99999,RentRoll!$K$10),RentRoll!$R$10)))/12</f>
        <v>29172.15</v>
      </c>
      <c r="H67" s="71" t="n">
        <f aca="false">RentRoll!$H$10*RentRoll!$P$10*(1+IF(RentRoll!$I$10="",RentGrowth+$B$62,RentRoll!$I$10))^(H$4-1)*(MAX(0,MIN(12*H$4,IF(RentRoll!$K$10="",99999,RentRoll!$K$10))-MAX(12*(H$4-1),RentRoll!$R$10))+RentRoll!$L$10*MAX(0,12*H$4-MAX(12*(H$4-1),IF(RentRoll!$K$10="",99999,RentRoll!$K$10),RentRoll!$R$10)))/12</f>
        <v>30630.7575</v>
      </c>
      <c r="I67" s="71" t="n">
        <f aca="false">RentRoll!$H$10*RentRoll!$P$10*(1+IF(RentRoll!$I$10="",RentGrowth+$B$62,RentRoll!$I$10))^(I$4-1)*(MAX(0,MIN(12*I$4,IF(RentRoll!$K$10="",99999,RentRoll!$K$10))-MAX(12*(I$4-1),RentRoll!$R$10))+RentRoll!$L$10*MAX(0,12*I$4-MAX(12*(I$4-1),IF(RentRoll!$K$10="",99999,RentRoll!$K$10),RentRoll!$R$10)))/12</f>
        <v>32162.295375</v>
      </c>
      <c r="J67" s="71" t="n">
        <f aca="false">RentRoll!$H$10*RentRoll!$P$10*(1+IF(RentRoll!$I$10="",RentGrowth+$B$62,RentRoll!$I$10))^(J$4-1)*(MAX(0,MIN(12*J$4,IF(RentRoll!$K$10="",99999,RentRoll!$K$10))-MAX(12*(J$4-1),RentRoll!$R$10))+RentRoll!$L$10*MAX(0,12*J$4-MAX(12*(J$4-1),IF(RentRoll!$K$10="",99999,RentRoll!$K$10),RentRoll!$R$10)))/12</f>
        <v>33770.41014375</v>
      </c>
      <c r="K67" s="71" t="n">
        <f aca="false">RentRoll!$H$10*RentRoll!$P$10*(1+IF(RentRoll!$I$10="",RentGrowth+$B$62,RentRoll!$I$10))^(K$4-1)*(MAX(0,MIN(12*K$4,IF(RentRoll!$K$10="",99999,RentRoll!$K$10))-MAX(12*(K$4-1),RentRoll!$R$10))+RentRoll!$L$10*MAX(0,12*K$4-MAX(12*(K$4-1),IF(RentRoll!$K$10="",99999,RentRoll!$K$10),RentRoll!$R$10)))/12</f>
        <v>35458.9306509375</v>
      </c>
      <c r="L67" s="71" t="n">
        <f aca="false">RentRoll!$H$10*RentRoll!$P$10*(1+IF(RentRoll!$I$10="",RentGrowth+$B$62,RentRoll!$I$10))^(L$4-1)*(MAX(0,MIN(12*L$4,IF(RentRoll!$K$10="",99999,RentRoll!$K$10))-MAX(12*(L$4-1),RentRoll!$R$10))+RentRoll!$L$10*MAX(0,12*L$4-MAX(12*(L$4-1),IF(RentRoll!$K$10="",99999,RentRoll!$K$10),RentRoll!$R$10)))/12</f>
        <v>37231.8771834844</v>
      </c>
      <c r="M67" s="71" t="n">
        <f aca="false">RentRoll!$H$10*RentRoll!$P$10*(1+IF(RentRoll!$I$10="",RentGrowth+$B$62,RentRoll!$I$10))^(M$4-1)*(MAX(0,MIN(12*M$4,IF(RentRoll!$K$10="",99999,RentRoll!$K$10))-MAX(12*(M$4-1),RentRoll!$R$10))+RentRoll!$L$10*MAX(0,12*M$4-MAX(12*(M$4-1),IF(RentRoll!$K$10="",99999,RentRoll!$K$10),RentRoll!$R$10)))/12</f>
        <v>39093.4710426586</v>
      </c>
      <c r="N67" s="71" t="n">
        <f aca="false">RentRoll!$H$10*RentRoll!$P$10*(1+IF(RentRoll!$I$10="",RentGrowth+$B$62,RentRoll!$I$10))^(N$4-1)*(MAX(0,MIN(12*N$4,IF(RentRoll!$K$10="",99999,RentRoll!$K$10))-MAX(12*(N$4-1),RentRoll!$R$10))+RentRoll!$L$10*MAX(0,12*N$4-MAX(12*(N$4-1),IF(RentRoll!$K$10="",99999,RentRoll!$K$10),RentRoll!$R$10)))/12</f>
        <v>41048.1445947915</v>
      </c>
    </row>
    <row r="68" customFormat="false" ht="15" hidden="false" customHeight="false" outlineLevel="0" collapsed="false">
      <c r="A68" s="91" t="str">
        <f aca="false">RentRoll!B11</f>
        <v>CDL driver training</v>
      </c>
      <c r="D68" s="71" t="n">
        <f aca="false">RentRoll!$H$11*RentRoll!$P$11*(1+IF(RentRoll!$I$11="",RentGrowth+$B$62,RentRoll!$I$11))^(D$4-1)*(MAX(0,MIN(12*D$4,IF(RentRoll!$K$11="",99999,RentRoll!$K$11))-MAX(12*(D$4-1),RentRoll!$R$11))+RentRoll!$L$11*MAX(0,12*D$4-MAX(12*(D$4-1),IF(RentRoll!$K$11="",99999,RentRoll!$K$11),RentRoll!$R$11)))/12</f>
        <v>18000</v>
      </c>
      <c r="E68" s="71" t="n">
        <f aca="false">RentRoll!$H$11*RentRoll!$P$11*(1+IF(RentRoll!$I$11="",RentGrowth+$B$62,RentRoll!$I$11))^(E$4-1)*(MAX(0,MIN(12*E$4,IF(RentRoll!$K$11="",99999,RentRoll!$K$11))-MAX(12*(E$4-1),RentRoll!$R$11))+RentRoll!$L$11*MAX(0,12*E$4-MAX(12*(E$4-1),IF(RentRoll!$K$11="",99999,RentRoll!$K$11),RentRoll!$R$11)))/12</f>
        <v>18900</v>
      </c>
      <c r="F68" s="71" t="n">
        <f aca="false">RentRoll!$H$11*RentRoll!$P$11*(1+IF(RentRoll!$I$11="",RentGrowth+$B$62,RentRoll!$I$11))^(F$4-1)*(MAX(0,MIN(12*F$4,IF(RentRoll!$K$11="",99999,RentRoll!$K$11))-MAX(12*(F$4-1),RentRoll!$R$11))+RentRoll!$L$11*MAX(0,12*F$4-MAX(12*(F$4-1),IF(RentRoll!$K$11="",99999,RentRoll!$K$11),RentRoll!$R$11)))/12</f>
        <v>19845</v>
      </c>
      <c r="G68" s="71" t="n">
        <f aca="false">RentRoll!$H$11*RentRoll!$P$11*(1+IF(RentRoll!$I$11="",RentGrowth+$B$62,RentRoll!$I$11))^(G$4-1)*(MAX(0,MIN(12*G$4,IF(RentRoll!$K$11="",99999,RentRoll!$K$11))-MAX(12*(G$4-1),RentRoll!$R$11))+RentRoll!$L$11*MAX(0,12*G$4-MAX(12*(G$4-1),IF(RentRoll!$K$11="",99999,RentRoll!$K$11),RentRoll!$R$11)))/12</f>
        <v>20837.25</v>
      </c>
      <c r="H68" s="71" t="n">
        <f aca="false">RentRoll!$H$11*RentRoll!$P$11*(1+IF(RentRoll!$I$11="",RentGrowth+$B$62,RentRoll!$I$11))^(H$4-1)*(MAX(0,MIN(12*H$4,IF(RentRoll!$K$11="",99999,RentRoll!$K$11))-MAX(12*(H$4-1),RentRoll!$R$11))+RentRoll!$L$11*MAX(0,12*H$4-MAX(12*(H$4-1),IF(RentRoll!$K$11="",99999,RentRoll!$K$11),RentRoll!$R$11)))/12</f>
        <v>21879.1125</v>
      </c>
      <c r="I68" s="71" t="n">
        <f aca="false">RentRoll!$H$11*RentRoll!$P$11*(1+IF(RentRoll!$I$11="",RentGrowth+$B$62,RentRoll!$I$11))^(I$4-1)*(MAX(0,MIN(12*I$4,IF(RentRoll!$K$11="",99999,RentRoll!$K$11))-MAX(12*(I$4-1),RentRoll!$R$11))+RentRoll!$L$11*MAX(0,12*I$4-MAX(12*(I$4-1),IF(RentRoll!$K$11="",99999,RentRoll!$K$11),RentRoll!$R$11)))/12</f>
        <v>22973.068125</v>
      </c>
      <c r="J68" s="71" t="n">
        <f aca="false">RentRoll!$H$11*RentRoll!$P$11*(1+IF(RentRoll!$I$11="",RentGrowth+$B$62,RentRoll!$I$11))^(J$4-1)*(MAX(0,MIN(12*J$4,IF(RentRoll!$K$11="",99999,RentRoll!$K$11))-MAX(12*(J$4-1),RentRoll!$R$11))+RentRoll!$L$11*MAX(0,12*J$4-MAX(12*(J$4-1),IF(RentRoll!$K$11="",99999,RentRoll!$K$11),RentRoll!$R$11)))/12</f>
        <v>24121.72153125</v>
      </c>
      <c r="K68" s="71" t="n">
        <f aca="false">RentRoll!$H$11*RentRoll!$P$11*(1+IF(RentRoll!$I$11="",RentGrowth+$B$62,RentRoll!$I$11))^(K$4-1)*(MAX(0,MIN(12*K$4,IF(RentRoll!$K$11="",99999,RentRoll!$K$11))-MAX(12*(K$4-1),RentRoll!$R$11))+RentRoll!$L$11*MAX(0,12*K$4-MAX(12*(K$4-1),IF(RentRoll!$K$11="",99999,RentRoll!$K$11),RentRoll!$R$11)))/12</f>
        <v>25327.8076078125</v>
      </c>
      <c r="L68" s="71" t="n">
        <f aca="false">RentRoll!$H$11*RentRoll!$P$11*(1+IF(RentRoll!$I$11="",RentGrowth+$B$62,RentRoll!$I$11))^(L$4-1)*(MAX(0,MIN(12*L$4,IF(RentRoll!$K$11="",99999,RentRoll!$K$11))-MAX(12*(L$4-1),RentRoll!$R$11))+RentRoll!$L$11*MAX(0,12*L$4-MAX(12*(L$4-1),IF(RentRoll!$K$11="",99999,RentRoll!$K$11),RentRoll!$R$11)))/12</f>
        <v>26594.1979882031</v>
      </c>
      <c r="M68" s="71" t="n">
        <f aca="false">RentRoll!$H$11*RentRoll!$P$11*(1+IF(RentRoll!$I$11="",RentGrowth+$B$62,RentRoll!$I$11))^(M$4-1)*(MAX(0,MIN(12*M$4,IF(RentRoll!$K$11="",99999,RentRoll!$K$11))-MAX(12*(M$4-1),RentRoll!$R$11))+RentRoll!$L$11*MAX(0,12*M$4-MAX(12*(M$4-1),IF(RentRoll!$K$11="",99999,RentRoll!$K$11),RentRoll!$R$11)))/12</f>
        <v>27923.9078876133</v>
      </c>
      <c r="N68" s="71" t="n">
        <f aca="false">RentRoll!$H$11*RentRoll!$P$11*(1+IF(RentRoll!$I$11="",RentGrowth+$B$62,RentRoll!$I$11))^(N$4-1)*(MAX(0,MIN(12*N$4,IF(RentRoll!$K$11="",99999,RentRoll!$K$11))-MAX(12*(N$4-1),RentRoll!$R$11))+RentRoll!$L$11*MAX(0,12*N$4-MAX(12*(N$4-1),IF(RentRoll!$K$11="",99999,RentRoll!$K$11),RentRoll!$R$11)))/12</f>
        <v>29320.103281994</v>
      </c>
    </row>
    <row r="69" customFormat="false" ht="15" hidden="false" customHeight="false" outlineLevel="0" collapsed="false">
      <c r="A69" s="91" t="str">
        <f aca="false">RentRoll!B12</f>
        <v>Alamo Fireworks</v>
      </c>
      <c r="D69" s="71" t="n">
        <f aca="false">RentRoll!$H$12*RentRoll!$P$12*(1+IF(RentRoll!$I$12="",RentGrowth+$B$62,RentRoll!$I$12))^(D$4-1)*(MAX(0,MIN(12*D$4,IF(RentRoll!$K$12="",99999,RentRoll!$K$12))-MAX(12*(D$4-1),RentRoll!$R$12))+RentRoll!$L$12*MAX(0,12*D$4-MAX(12*(D$4-1),IF(RentRoll!$K$12="",99999,RentRoll!$K$12),RentRoll!$R$12)))/12</f>
        <v>8000</v>
      </c>
      <c r="E69" s="71" t="n">
        <f aca="false">RentRoll!$H$12*RentRoll!$P$12*(1+IF(RentRoll!$I$12="",RentGrowth+$B$62,RentRoll!$I$12))^(E$4-1)*(MAX(0,MIN(12*E$4,IF(RentRoll!$K$12="",99999,RentRoll!$K$12))-MAX(12*(E$4-1),RentRoll!$R$12))+RentRoll!$L$12*MAX(0,12*E$4-MAX(12*(E$4-1),IF(RentRoll!$K$12="",99999,RentRoll!$K$12),RentRoll!$R$12)))/12</f>
        <v>8400</v>
      </c>
      <c r="F69" s="71" t="n">
        <f aca="false">RentRoll!$H$12*RentRoll!$P$12*(1+IF(RentRoll!$I$12="",RentGrowth+$B$62,RentRoll!$I$12))^(F$4-1)*(MAX(0,MIN(12*F$4,IF(RentRoll!$K$12="",99999,RentRoll!$K$12))-MAX(12*(F$4-1),RentRoll!$R$12))+RentRoll!$L$12*MAX(0,12*F$4-MAX(12*(F$4-1),IF(RentRoll!$K$12="",99999,RentRoll!$K$12),RentRoll!$R$12)))/12</f>
        <v>8820</v>
      </c>
      <c r="G69" s="71" t="n">
        <f aca="false">RentRoll!$H$12*RentRoll!$P$12*(1+IF(RentRoll!$I$12="",RentGrowth+$B$62,RentRoll!$I$12))^(G$4-1)*(MAX(0,MIN(12*G$4,IF(RentRoll!$K$12="",99999,RentRoll!$K$12))-MAX(12*(G$4-1),RentRoll!$R$12))+RentRoll!$L$12*MAX(0,12*G$4-MAX(12*(G$4-1),IF(RentRoll!$K$12="",99999,RentRoll!$K$12),RentRoll!$R$12)))/12</f>
        <v>9261</v>
      </c>
      <c r="H69" s="71" t="n">
        <f aca="false">RentRoll!$H$12*RentRoll!$P$12*(1+IF(RentRoll!$I$12="",RentGrowth+$B$62,RentRoll!$I$12))^(H$4-1)*(MAX(0,MIN(12*H$4,IF(RentRoll!$K$12="",99999,RentRoll!$K$12))-MAX(12*(H$4-1),RentRoll!$R$12))+RentRoll!$L$12*MAX(0,12*H$4-MAX(12*(H$4-1),IF(RentRoll!$K$12="",99999,RentRoll!$K$12),RentRoll!$R$12)))/12</f>
        <v>9724.05</v>
      </c>
      <c r="I69" s="71" t="n">
        <f aca="false">RentRoll!$H$12*RentRoll!$P$12*(1+IF(RentRoll!$I$12="",RentGrowth+$B$62,RentRoll!$I$12))^(I$4-1)*(MAX(0,MIN(12*I$4,IF(RentRoll!$K$12="",99999,RentRoll!$K$12))-MAX(12*(I$4-1),RentRoll!$R$12))+RentRoll!$L$12*MAX(0,12*I$4-MAX(12*(I$4-1),IF(RentRoll!$K$12="",99999,RentRoll!$K$12),RentRoll!$R$12)))/12</f>
        <v>10210.2525</v>
      </c>
      <c r="J69" s="71" t="n">
        <f aca="false">RentRoll!$H$12*RentRoll!$P$12*(1+IF(RentRoll!$I$12="",RentGrowth+$B$62,RentRoll!$I$12))^(J$4-1)*(MAX(0,MIN(12*J$4,IF(RentRoll!$K$12="",99999,RentRoll!$K$12))-MAX(12*(J$4-1),RentRoll!$R$12))+RentRoll!$L$12*MAX(0,12*J$4-MAX(12*(J$4-1),IF(RentRoll!$K$12="",99999,RentRoll!$K$12),RentRoll!$R$12)))/12</f>
        <v>10720.765125</v>
      </c>
      <c r="K69" s="71" t="n">
        <f aca="false">RentRoll!$H$12*RentRoll!$P$12*(1+IF(RentRoll!$I$12="",RentGrowth+$B$62,RentRoll!$I$12))^(K$4-1)*(MAX(0,MIN(12*K$4,IF(RentRoll!$K$12="",99999,RentRoll!$K$12))-MAX(12*(K$4-1),RentRoll!$R$12))+RentRoll!$L$12*MAX(0,12*K$4-MAX(12*(K$4-1),IF(RentRoll!$K$12="",99999,RentRoll!$K$12),RentRoll!$R$12)))/12</f>
        <v>11256.80338125</v>
      </c>
      <c r="L69" s="71" t="n">
        <f aca="false">RentRoll!$H$12*RentRoll!$P$12*(1+IF(RentRoll!$I$12="",RentGrowth+$B$62,RentRoll!$I$12))^(L$4-1)*(MAX(0,MIN(12*L$4,IF(RentRoll!$K$12="",99999,RentRoll!$K$12))-MAX(12*(L$4-1),RentRoll!$R$12))+RentRoll!$L$12*MAX(0,12*L$4-MAX(12*(L$4-1),IF(RentRoll!$K$12="",99999,RentRoll!$K$12),RentRoll!$R$12)))/12</f>
        <v>11819.6435503125</v>
      </c>
      <c r="M69" s="71" t="n">
        <f aca="false">RentRoll!$H$12*RentRoll!$P$12*(1+IF(RentRoll!$I$12="",RentGrowth+$B$62,RentRoll!$I$12))^(M$4-1)*(MAX(0,MIN(12*M$4,IF(RentRoll!$K$12="",99999,RentRoll!$K$12))-MAX(12*(M$4-1),RentRoll!$R$12))+RentRoll!$L$12*MAX(0,12*M$4-MAX(12*(M$4-1),IF(RentRoll!$K$12="",99999,RentRoll!$K$12),RentRoll!$R$12)))/12</f>
        <v>12410.6257278281</v>
      </c>
      <c r="N69" s="71" t="n">
        <f aca="false">RentRoll!$H$12*RentRoll!$P$12*(1+IF(RentRoll!$I$12="",RentGrowth+$B$62,RentRoll!$I$12))^(N$4-1)*(MAX(0,MIN(12*N$4,IF(RentRoll!$K$12="",99999,RentRoll!$K$12))-MAX(12*(N$4-1),RentRoll!$R$12))+RentRoll!$L$12*MAX(0,12*N$4-MAX(12*(N$4-1),IF(RentRoll!$K$12="",99999,RentRoll!$K$12),RentRoll!$R$12)))/12</f>
        <v>13031.1570142195</v>
      </c>
    </row>
    <row r="70" customFormat="false" ht="15" hidden="false" customHeight="false" outlineLevel="0" collapsed="false">
      <c r="A70" s="91" t="str">
        <f aca="false">RentRoll!B13</f>
        <v>Prime expansion (+1 ac)</v>
      </c>
      <c r="D70" s="71" t="n">
        <f aca="false">RentRoll!$H$13*RentRoll!$P$13*(1+IF(RentRoll!$I$13="",RentGrowth+$B$62,RentRoll!$I$13))^(D$4-1)*(MAX(0,MIN(12*D$4,IF(RentRoll!$K$13="",99999,RentRoll!$K$13))-MAX(12*(D$4-1),RentRoll!$R$13))+RentRoll!$L$13*MAX(0,12*D$4-MAX(12*(D$4-1),IF(RentRoll!$K$13="",99999,RentRoll!$K$13),RentRoll!$R$13)))/12</f>
        <v>31500</v>
      </c>
      <c r="E70" s="71" t="n">
        <f aca="false">RentRoll!$H$13*RentRoll!$P$13*(1+IF(RentRoll!$I$13="",RentGrowth+$B$62,RentRoll!$I$13))^(E$4-1)*(MAX(0,MIN(12*E$4,IF(RentRoll!$K$13="",99999,RentRoll!$K$13))-MAX(12*(E$4-1),RentRoll!$R$13))+RentRoll!$L$13*MAX(0,12*E$4-MAX(12*(E$4-1),IF(RentRoll!$K$13="",99999,RentRoll!$K$13),RentRoll!$R$13)))/12</f>
        <v>44100</v>
      </c>
      <c r="F70" s="71" t="n">
        <f aca="false">RentRoll!$H$13*RentRoll!$P$13*(1+IF(RentRoll!$I$13="",RentGrowth+$B$62,RentRoll!$I$13))^(F$4-1)*(MAX(0,MIN(12*F$4,IF(RentRoll!$K$13="",99999,RentRoll!$K$13))-MAX(12*(F$4-1),RentRoll!$R$13))+RentRoll!$L$13*MAX(0,12*F$4-MAX(12*(F$4-1),IF(RentRoll!$K$13="",99999,RentRoll!$K$13),RentRoll!$R$13)))/12</f>
        <v>46305</v>
      </c>
      <c r="G70" s="71" t="n">
        <f aca="false">RentRoll!$H$13*RentRoll!$P$13*(1+IF(RentRoll!$I$13="",RentGrowth+$B$62,RentRoll!$I$13))^(G$4-1)*(MAX(0,MIN(12*G$4,IF(RentRoll!$K$13="",99999,RentRoll!$K$13))-MAX(12*(G$4-1),RentRoll!$R$13))+RentRoll!$L$13*MAX(0,12*G$4-MAX(12*(G$4-1),IF(RentRoll!$K$13="",99999,RentRoll!$K$13),RentRoll!$R$13)))/12</f>
        <v>48620.25</v>
      </c>
      <c r="H70" s="71" t="n">
        <f aca="false">RentRoll!$H$13*RentRoll!$P$13*(1+IF(RentRoll!$I$13="",RentGrowth+$B$62,RentRoll!$I$13))^(H$4-1)*(MAX(0,MIN(12*H$4,IF(RentRoll!$K$13="",99999,RentRoll!$K$13))-MAX(12*(H$4-1),RentRoll!$R$13))+RentRoll!$L$13*MAX(0,12*H$4-MAX(12*(H$4-1),IF(RentRoll!$K$13="",99999,RentRoll!$K$13),RentRoll!$R$13)))/12</f>
        <v>51051.2625</v>
      </c>
      <c r="I70" s="71" t="n">
        <f aca="false">RentRoll!$H$13*RentRoll!$P$13*(1+IF(RentRoll!$I$13="",RentGrowth+$B$62,RentRoll!$I$13))^(I$4-1)*(MAX(0,MIN(12*I$4,IF(RentRoll!$K$13="",99999,RentRoll!$K$13))-MAX(12*(I$4-1),RentRoll!$R$13))+RentRoll!$L$13*MAX(0,12*I$4-MAX(12*(I$4-1),IF(RentRoll!$K$13="",99999,RentRoll!$K$13),RentRoll!$R$13)))/12</f>
        <v>53603.825625</v>
      </c>
      <c r="J70" s="71" t="n">
        <f aca="false">RentRoll!$H$13*RentRoll!$P$13*(1+IF(RentRoll!$I$13="",RentGrowth+$B$62,RentRoll!$I$13))^(J$4-1)*(MAX(0,MIN(12*J$4,IF(RentRoll!$K$13="",99999,RentRoll!$K$13))-MAX(12*(J$4-1),RentRoll!$R$13))+RentRoll!$L$13*MAX(0,12*J$4-MAX(12*(J$4-1),IF(RentRoll!$K$13="",99999,RentRoll!$K$13),RentRoll!$R$13)))/12</f>
        <v>56284.01690625</v>
      </c>
      <c r="K70" s="71" t="n">
        <f aca="false">RentRoll!$H$13*RentRoll!$P$13*(1+IF(RentRoll!$I$13="",RentGrowth+$B$62,RentRoll!$I$13))^(K$4-1)*(MAX(0,MIN(12*K$4,IF(RentRoll!$K$13="",99999,RentRoll!$K$13))-MAX(12*(K$4-1),RentRoll!$R$13))+RentRoll!$L$13*MAX(0,12*K$4-MAX(12*(K$4-1),IF(RentRoll!$K$13="",99999,RentRoll!$K$13),RentRoll!$R$13)))/12</f>
        <v>59098.2177515625</v>
      </c>
      <c r="L70" s="71" t="n">
        <f aca="false">RentRoll!$H$13*RentRoll!$P$13*(1+IF(RentRoll!$I$13="",RentGrowth+$B$62,RentRoll!$I$13))^(L$4-1)*(MAX(0,MIN(12*L$4,IF(RentRoll!$K$13="",99999,RentRoll!$K$13))-MAX(12*(L$4-1),RentRoll!$R$13))+RentRoll!$L$13*MAX(0,12*L$4-MAX(12*(L$4-1),IF(RentRoll!$K$13="",99999,RentRoll!$K$13),RentRoll!$R$13)))/12</f>
        <v>62053.1286391407</v>
      </c>
      <c r="M70" s="71" t="n">
        <f aca="false">RentRoll!$H$13*RentRoll!$P$13*(1+IF(RentRoll!$I$13="",RentGrowth+$B$62,RentRoll!$I$13))^(M$4-1)*(MAX(0,MIN(12*M$4,IF(RentRoll!$K$13="",99999,RentRoll!$K$13))-MAX(12*(M$4-1),RentRoll!$R$13))+RentRoll!$L$13*MAX(0,12*M$4-MAX(12*(M$4-1),IF(RentRoll!$K$13="",99999,RentRoll!$K$13),RentRoll!$R$13)))/12</f>
        <v>65155.7850710977</v>
      </c>
      <c r="N70" s="71" t="n">
        <f aca="false">RentRoll!$H$13*RentRoll!$P$13*(1+IF(RentRoll!$I$13="",RentGrowth+$B$62,RentRoll!$I$13))^(N$4-1)*(MAX(0,MIN(12*N$4,IF(RentRoll!$K$13="",99999,RentRoll!$K$13))-MAX(12*(N$4-1),RentRoll!$R$13))+RentRoll!$L$13*MAX(0,12*N$4-MAX(12*(N$4-1),IF(RentRoll!$K$13="",99999,RentRoll!$K$13),RentRoll!$R$13)))/12</f>
        <v>68413.5743246526</v>
      </c>
    </row>
    <row r="71" customFormat="false" ht="15" hidden="false" customHeight="false" outlineLevel="0" collapsed="false">
      <c r="A71" s="91" t="str">
        <f aca="false">RentRoll!B14</f>
        <v>Straight 6 expansion (~10 spots)</v>
      </c>
      <c r="D71" s="71" t="n">
        <f aca="false">RentRoll!$H$14*RentRoll!$P$14*(1+IF(RentRoll!$I$14="",RentGrowth+$B$62,RentRoll!$I$14))^(D$4-1)*(MAX(0,MIN(12*D$4,IF(RentRoll!$K$14="",99999,RentRoll!$K$14))-MAX(12*(D$4-1),RentRoll!$R$14))+RentRoll!$L$14*MAX(0,12*D$4-MAX(12*(D$4-1),IF(RentRoll!$K$14="",99999,RentRoll!$K$14),RentRoll!$R$14)))/12</f>
        <v>9000</v>
      </c>
      <c r="E71" s="71" t="n">
        <f aca="false">RentRoll!$H$14*RentRoll!$P$14*(1+IF(RentRoll!$I$14="",RentGrowth+$B$62,RentRoll!$I$14))^(E$4-1)*(MAX(0,MIN(12*E$4,IF(RentRoll!$K$14="",99999,RentRoll!$K$14))-MAX(12*(E$4-1),RentRoll!$R$14))+RentRoll!$L$14*MAX(0,12*E$4-MAX(12*(E$4-1),IF(RentRoll!$K$14="",99999,RentRoll!$K$14),RentRoll!$R$14)))/12</f>
        <v>12600</v>
      </c>
      <c r="F71" s="71" t="n">
        <f aca="false">RentRoll!$H$14*RentRoll!$P$14*(1+IF(RentRoll!$I$14="",RentGrowth+$B$62,RentRoll!$I$14))^(F$4-1)*(MAX(0,MIN(12*F$4,IF(RentRoll!$K$14="",99999,RentRoll!$K$14))-MAX(12*(F$4-1),RentRoll!$R$14))+RentRoll!$L$14*MAX(0,12*F$4-MAX(12*(F$4-1),IF(RentRoll!$K$14="",99999,RentRoll!$K$14),RentRoll!$R$14)))/12</f>
        <v>13230</v>
      </c>
      <c r="G71" s="71" t="n">
        <f aca="false">RentRoll!$H$14*RentRoll!$P$14*(1+IF(RentRoll!$I$14="",RentGrowth+$B$62,RentRoll!$I$14))^(G$4-1)*(MAX(0,MIN(12*G$4,IF(RentRoll!$K$14="",99999,RentRoll!$K$14))-MAX(12*(G$4-1),RentRoll!$R$14))+RentRoll!$L$14*MAX(0,12*G$4-MAX(12*(G$4-1),IF(RentRoll!$K$14="",99999,RentRoll!$K$14),RentRoll!$R$14)))/12</f>
        <v>13891.5</v>
      </c>
      <c r="H71" s="71" t="n">
        <f aca="false">RentRoll!$H$14*RentRoll!$P$14*(1+IF(RentRoll!$I$14="",RentGrowth+$B$62,RentRoll!$I$14))^(H$4-1)*(MAX(0,MIN(12*H$4,IF(RentRoll!$K$14="",99999,RentRoll!$K$14))-MAX(12*(H$4-1),RentRoll!$R$14))+RentRoll!$L$14*MAX(0,12*H$4-MAX(12*(H$4-1),IF(RentRoll!$K$14="",99999,RentRoll!$K$14),RentRoll!$R$14)))/12</f>
        <v>14586.075</v>
      </c>
      <c r="I71" s="71" t="n">
        <f aca="false">RentRoll!$H$14*RentRoll!$P$14*(1+IF(RentRoll!$I$14="",RentGrowth+$B$62,RentRoll!$I$14))^(I$4-1)*(MAX(0,MIN(12*I$4,IF(RentRoll!$K$14="",99999,RentRoll!$K$14))-MAX(12*(I$4-1),RentRoll!$R$14))+RentRoll!$L$14*MAX(0,12*I$4-MAX(12*(I$4-1),IF(RentRoll!$K$14="",99999,RentRoll!$K$14),RentRoll!$R$14)))/12</f>
        <v>15315.37875</v>
      </c>
      <c r="J71" s="71" t="n">
        <f aca="false">RentRoll!$H$14*RentRoll!$P$14*(1+IF(RentRoll!$I$14="",RentGrowth+$B$62,RentRoll!$I$14))^(J$4-1)*(MAX(0,MIN(12*J$4,IF(RentRoll!$K$14="",99999,RentRoll!$K$14))-MAX(12*(J$4-1),RentRoll!$R$14))+RentRoll!$L$14*MAX(0,12*J$4-MAX(12*(J$4-1),IF(RentRoll!$K$14="",99999,RentRoll!$K$14),RentRoll!$R$14)))/12</f>
        <v>16081.1476875</v>
      </c>
      <c r="K71" s="71" t="n">
        <f aca="false">RentRoll!$H$14*RentRoll!$P$14*(1+IF(RentRoll!$I$14="",RentGrowth+$B$62,RentRoll!$I$14))^(K$4-1)*(MAX(0,MIN(12*K$4,IF(RentRoll!$K$14="",99999,RentRoll!$K$14))-MAX(12*(K$4-1),RentRoll!$R$14))+RentRoll!$L$14*MAX(0,12*K$4-MAX(12*(K$4-1),IF(RentRoll!$K$14="",99999,RentRoll!$K$14),RentRoll!$R$14)))/12</f>
        <v>16885.205071875</v>
      </c>
      <c r="L71" s="71" t="n">
        <f aca="false">RentRoll!$H$14*RentRoll!$P$14*(1+IF(RentRoll!$I$14="",RentGrowth+$B$62,RentRoll!$I$14))^(L$4-1)*(MAX(0,MIN(12*L$4,IF(RentRoll!$K$14="",99999,RentRoll!$K$14))-MAX(12*(L$4-1),RentRoll!$R$14))+RentRoll!$L$14*MAX(0,12*L$4-MAX(12*(L$4-1),IF(RentRoll!$K$14="",99999,RentRoll!$K$14),RentRoll!$R$14)))/12</f>
        <v>17729.4653254688</v>
      </c>
      <c r="M71" s="71" t="n">
        <f aca="false">RentRoll!$H$14*RentRoll!$P$14*(1+IF(RentRoll!$I$14="",RentGrowth+$B$62,RentRoll!$I$14))^(M$4-1)*(MAX(0,MIN(12*M$4,IF(RentRoll!$K$14="",99999,RentRoll!$K$14))-MAX(12*(M$4-1),RentRoll!$R$14))+RentRoll!$L$14*MAX(0,12*M$4-MAX(12*(M$4-1),IF(RentRoll!$K$14="",99999,RentRoll!$K$14),RentRoll!$R$14)))/12</f>
        <v>18615.9385917422</v>
      </c>
      <c r="N71" s="71" t="n">
        <f aca="false">RentRoll!$H$14*RentRoll!$P$14*(1+IF(RentRoll!$I$14="",RentGrowth+$B$62,RentRoll!$I$14))^(N$4-1)*(MAX(0,MIN(12*N$4,IF(RentRoll!$K$14="",99999,RentRoll!$K$14))-MAX(12*(N$4-1),RentRoll!$R$14))+RentRoll!$L$14*MAX(0,12*N$4-MAX(12*(N$4-1),IF(RentRoll!$K$14="",99999,RentRoll!$K$14),RentRoll!$R$14)))/12</f>
        <v>19546.7355213293</v>
      </c>
    </row>
    <row r="72" customFormat="false" ht="15" hidden="false" customHeight="false" outlineLevel="0" collapsed="false">
      <c r="A72" s="91" t="str">
        <f aca="false">RentRoll!B15</f>
        <v>Large tenant (~5.75 ac, in county)</v>
      </c>
      <c r="D72" s="71" t="n">
        <f aca="false">RentRoll!$H$15*RentRoll!$P$15*(1+IF(RentRoll!$I$15="",RentGrowth+$B$62,RentRoll!$I$15))^(D$4-1)*(MAX(0,MIN(12*D$4,IF(RentRoll!$K$15="",99999,RentRoll!$K$15))-MAX(12*(D$4-1),RentRoll!$R$15))+RentRoll!$L$15*MAX(0,12*D$4-MAX(12*(D$4-1),IF(RentRoll!$K$15="",99999,RentRoll!$K$15),RentRoll!$R$15)))/12</f>
        <v>0</v>
      </c>
      <c r="E72" s="71" t="n">
        <f aca="false">RentRoll!$H$15*RentRoll!$P$15*(1+IF(RentRoll!$I$15="",RentGrowth+$B$62,RentRoll!$I$15))^(E$4-1)*(MAX(0,MIN(12*E$4,IF(RentRoll!$K$15="",99999,RentRoll!$K$15))-MAX(12*(E$4-1),RentRoll!$R$15))+RentRoll!$L$15*MAX(0,12*E$4-MAX(12*(E$4-1),IF(RentRoll!$K$15="",99999,RentRoll!$K$15),RentRoll!$R$15)))/12</f>
        <v>0</v>
      </c>
      <c r="F72" s="71" t="n">
        <f aca="false">RentRoll!$H$15*RentRoll!$P$15*(1+IF(RentRoll!$I$15="",RentGrowth+$B$62,RentRoll!$I$15))^(F$4-1)*(MAX(0,MIN(12*F$4,IF(RentRoll!$K$15="",99999,RentRoll!$K$15))-MAX(12*(F$4-1),RentRoll!$R$15))+RentRoll!$L$15*MAX(0,12*F$4-MAX(12*(F$4-1),IF(RentRoll!$K$15="",99999,RentRoll!$K$15),RentRoll!$R$15)))/12</f>
        <v>0</v>
      </c>
      <c r="G72" s="71" t="n">
        <f aca="false">RentRoll!$H$15*RentRoll!$P$15*(1+IF(RentRoll!$I$15="",RentGrowth+$B$62,RentRoll!$I$15))^(G$4-1)*(MAX(0,MIN(12*G$4,IF(RentRoll!$K$15="",99999,RentRoll!$K$15))-MAX(12*(G$4-1),RentRoll!$R$15))+RentRoll!$L$15*MAX(0,12*G$4-MAX(12*(G$4-1),IF(RentRoll!$K$15="",99999,RentRoll!$K$15),RentRoll!$R$15)))/12</f>
        <v>0</v>
      </c>
      <c r="H72" s="71" t="n">
        <f aca="false">RentRoll!$H$15*RentRoll!$P$15*(1+IF(RentRoll!$I$15="",RentGrowth+$B$62,RentRoll!$I$15))^(H$4-1)*(MAX(0,MIN(12*H$4,IF(RentRoll!$K$15="",99999,RentRoll!$K$15))-MAX(12*(H$4-1),RentRoll!$R$15))+RentRoll!$L$15*MAX(0,12*H$4-MAX(12*(H$4-1),IF(RentRoll!$K$15="",99999,RentRoll!$K$15),RentRoll!$R$15)))/12</f>
        <v>0</v>
      </c>
      <c r="I72" s="71" t="n">
        <f aca="false">RentRoll!$H$15*RentRoll!$P$15*(1+IF(RentRoll!$I$15="",RentGrowth+$B$62,RentRoll!$I$15))^(I$4-1)*(MAX(0,MIN(12*I$4,IF(RentRoll!$K$15="",99999,RentRoll!$K$15))-MAX(12*(I$4-1),RentRoll!$R$15))+RentRoll!$L$15*MAX(0,12*I$4-MAX(12*(I$4-1),IF(RentRoll!$K$15="",99999,RentRoll!$K$15),RentRoll!$R$15)))/12</f>
        <v>0</v>
      </c>
      <c r="J72" s="71" t="n">
        <f aca="false">RentRoll!$H$15*RentRoll!$P$15*(1+IF(RentRoll!$I$15="",RentGrowth+$B$62,RentRoll!$I$15))^(J$4-1)*(MAX(0,MIN(12*J$4,IF(RentRoll!$K$15="",99999,RentRoll!$K$15))-MAX(12*(J$4-1),RentRoll!$R$15))+RentRoll!$L$15*MAX(0,12*J$4-MAX(12*(J$4-1),IF(RentRoll!$K$15="",99999,RentRoll!$K$15),RentRoll!$R$15)))/12</f>
        <v>0</v>
      </c>
      <c r="K72" s="71" t="n">
        <f aca="false">RentRoll!$H$15*RentRoll!$P$15*(1+IF(RentRoll!$I$15="",RentGrowth+$B$62,RentRoll!$I$15))^(K$4-1)*(MAX(0,MIN(12*K$4,IF(RentRoll!$K$15="",99999,RentRoll!$K$15))-MAX(12*(K$4-1),RentRoll!$R$15))+RentRoll!$L$15*MAX(0,12*K$4-MAX(12*(K$4-1),IF(RentRoll!$K$15="",99999,RentRoll!$K$15),RentRoll!$R$15)))/12</f>
        <v>0</v>
      </c>
      <c r="L72" s="71" t="n">
        <f aca="false">RentRoll!$H$15*RentRoll!$P$15*(1+IF(RentRoll!$I$15="",RentGrowth+$B$62,RentRoll!$I$15))^(L$4-1)*(MAX(0,MIN(12*L$4,IF(RentRoll!$K$15="",99999,RentRoll!$K$15))-MAX(12*(L$4-1),RentRoll!$R$15))+RentRoll!$L$15*MAX(0,12*L$4-MAX(12*(L$4-1),IF(RentRoll!$K$15="",99999,RentRoll!$K$15),RentRoll!$R$15)))/12</f>
        <v>0</v>
      </c>
      <c r="M72" s="71" t="n">
        <f aca="false">RentRoll!$H$15*RentRoll!$P$15*(1+IF(RentRoll!$I$15="",RentGrowth+$B$62,RentRoll!$I$15))^(M$4-1)*(MAX(0,MIN(12*M$4,IF(RentRoll!$K$15="",99999,RentRoll!$K$15))-MAX(12*(M$4-1),RentRoll!$R$15))+RentRoll!$L$15*MAX(0,12*M$4-MAX(12*(M$4-1),IF(RentRoll!$K$15="",99999,RentRoll!$K$15),RentRoll!$R$15)))/12</f>
        <v>0</v>
      </c>
      <c r="N72" s="71" t="n">
        <f aca="false">RentRoll!$H$15*RentRoll!$P$15*(1+IF(RentRoll!$I$15="",RentGrowth+$B$62,RentRoll!$I$15))^(N$4-1)*(MAX(0,MIN(12*N$4,IF(RentRoll!$K$15="",99999,RentRoll!$K$15))-MAX(12*(N$4-1),RentRoll!$R$15))+RentRoll!$L$15*MAX(0,12*N$4-MAX(12*(N$4-1),IF(RentRoll!$K$15="",99999,RentRoll!$K$15),RentRoll!$R$15)))/12</f>
        <v>0</v>
      </c>
    </row>
    <row r="73" customFormat="false" ht="15" hidden="false" customHeight="false" outlineLevel="0" collapsed="false">
      <c r="A73" s="79" t="s">
        <v>210</v>
      </c>
      <c r="D73" s="80" t="n">
        <f aca="false">SUM(D63:D72)</f>
        <v>457700</v>
      </c>
      <c r="E73" s="80" t="n">
        <f aca="false">SUM(E63:E72)</f>
        <v>491640</v>
      </c>
      <c r="F73" s="80" t="n">
        <f aca="false">SUM(F63:F72)</f>
        <v>503747.4</v>
      </c>
      <c r="G73" s="80" t="n">
        <f aca="false">SUM(G63:G72)</f>
        <v>525624.762</v>
      </c>
      <c r="H73" s="80" t="n">
        <f aca="false">SUM(H63:H72)</f>
        <v>548496.69186</v>
      </c>
      <c r="I73" s="80" t="n">
        <f aca="false">SUM(I63:I72)</f>
        <v>545282.92562718</v>
      </c>
      <c r="J73" s="80" t="n">
        <f aca="false">SUM(J63:J72)</f>
        <v>569472.677063496</v>
      </c>
      <c r="K73" s="80" t="n">
        <f aca="false">SUM(K63:K72)</f>
        <v>594779.684226275</v>
      </c>
      <c r="L73" s="80" t="n">
        <f aca="false">SUM(L63:L72)</f>
        <v>621257.042946483</v>
      </c>
      <c r="M73" s="80" t="n">
        <f aca="false">SUM(M63:M72)</f>
        <v>648960.420837967</v>
      </c>
      <c r="N73" s="80" t="n">
        <f aca="false">SUM(N63:N72)</f>
        <v>677948.18339635</v>
      </c>
    </row>
    <row r="74" customFormat="false" ht="15" hidden="false" customHeight="false" outlineLevel="0" collapsed="false">
      <c r="A74" s="79" t="s">
        <v>46</v>
      </c>
      <c r="D74" s="80" t="n">
        <f aca="false">D73*(1-Vacancy)*(1-MgmtPct)+SUM(CashFlow!D24:D26)</f>
        <v>427815</v>
      </c>
      <c r="E74" s="80" t="n">
        <f aca="false">E73*(1-Vacancy)*(1-MgmtPct)+SUM(CashFlow!E24:E26)</f>
        <v>459848</v>
      </c>
      <c r="F74" s="80" t="n">
        <f aca="false">F73*(1-Vacancy)*(1-MgmtPct)+SUM(CashFlow!F24:F26)</f>
        <v>471133.73</v>
      </c>
      <c r="G74" s="80" t="n">
        <f aca="false">G73*(1-Vacancy)*(1-MgmtPct)+SUM(CashFlow!G24:G26)</f>
        <v>491694.4349</v>
      </c>
      <c r="H74" s="80" t="n">
        <f aca="false">H73*(1-Vacancy)*(1-MgmtPct)+SUM(CashFlow!H24:H26)</f>
        <v>513193.295597</v>
      </c>
      <c r="I74" s="80" t="n">
        <f aca="false">I73*(1-Vacancy)*(1-MgmtPct)+SUM(CashFlow!I24:I26)</f>
        <v>509903.860825721</v>
      </c>
      <c r="J74" s="80" t="n">
        <f aca="false">J73*(1-Vacancy)*(1-MgmtPct)+SUM(CashFlow!J24:J26)</f>
        <v>532640.677134618</v>
      </c>
      <c r="K74" s="80" t="n">
        <f aca="false">K73*(1-Vacancy)*(1-MgmtPct)+SUM(CashFlow!K24:K26)</f>
        <v>556431.582956988</v>
      </c>
      <c r="L74" s="80" t="n">
        <f aca="false">L73*(1-Vacancy)*(1-MgmtPct)+SUM(CashFlow!L24:L26)</f>
        <v>581326.800229445</v>
      </c>
      <c r="M74" s="80" t="n">
        <f aca="false">M73*(1-Vacancy)*(1-MgmtPct)+SUM(CashFlow!M24:M26)</f>
        <v>607378.987509264</v>
      </c>
      <c r="N74" s="80" t="n">
        <f aca="false">N73*(1-Vacancy)*(1-MgmtPct)+SUM(CashFlow!N24:N26)</f>
        <v>634643.359571124</v>
      </c>
    </row>
    <row r="78" customFormat="false" ht="15" hidden="false" customHeight="false" outlineLevel="0" collapsed="false">
      <c r="A78" s="57" t="s">
        <v>273</v>
      </c>
      <c r="B78" s="57"/>
      <c r="C78" s="57"/>
      <c r="D78" s="57"/>
      <c r="E78" s="57"/>
      <c r="F78" s="57"/>
      <c r="G78" s="57"/>
      <c r="H78" s="57"/>
      <c r="I78" s="57"/>
      <c r="J78" s="57"/>
      <c r="K78" s="57"/>
      <c r="L78" s="57"/>
      <c r="M78" s="57"/>
      <c r="N78" s="57"/>
      <c r="O78" s="103" t="s">
        <v>274</v>
      </c>
    </row>
    <row r="79" customFormat="false" ht="15" hidden="false" customHeight="false" outlineLevel="0" collapsed="false">
      <c r="A79" s="48" t="str">
        <f aca="false">"Growth "&amp;TEXT($B$6,"+0.0%;-0.0%;0.0%")&amp;" / exit cap "&amp;TEXT(B79,"0.00%")</f>
        <v>Growth -2.0% / exit cap 6.00%</v>
      </c>
      <c r="B79" s="104" t="n">
        <f aca="false">ExitCap+(0-2)*StepCap</f>
        <v>0.06</v>
      </c>
      <c r="C79" s="105" t="n">
        <f aca="false">CashFlow!$C$46</f>
        <v>-5582500</v>
      </c>
      <c r="D79" s="71" t="n">
        <f aca="false">(D18+CashFlow!D$35+CashFlow!D$36)*CashFlow!D$5+CashFlow!D$6*(1-SaleCost)*E18/$B79</f>
        <v>315315</v>
      </c>
      <c r="E79" s="71" t="n">
        <f aca="false">(E18+CashFlow!E$35+CashFlow!E$36)*CashFlow!E$5+CashFlow!E$6*(1-SaleCost)*F18/$B79</f>
        <v>402870.4</v>
      </c>
      <c r="F79" s="71" t="n">
        <f aca="false">(F18+CashFlow!F$35+CashFlow!F$36)*CashFlow!F$5+CashFlow!F$6*(1-SaleCost)*G18/$B79</f>
        <v>447117.426</v>
      </c>
      <c r="G79" s="71" t="n">
        <f aca="false">(G18+CashFlow!G$35+CashFlow!G$36)*CashFlow!G$5+CashFlow!G$6*(1-SaleCost)*H18/$B79</f>
        <v>454584.58186</v>
      </c>
      <c r="H79" s="71" t="n">
        <f aca="false">(H18+CashFlow!H$35+CashFlow!H$36)*CashFlow!H$5+CashFlow!H$6*(1-SaleCost)*I18/$B79</f>
        <v>462216.2887266</v>
      </c>
      <c r="I79" s="71" t="n">
        <f aca="false">(I18+CashFlow!I$35+CashFlow!I$36)*CashFlow!I$5+CashFlow!I$6*(1-SaleCost)*J18/$B79</f>
        <v>444246.225821617</v>
      </c>
      <c r="J79" s="71" t="n">
        <f aca="false">(J18+CashFlow!J$35+CashFlow!J$36)*CashFlow!J$5+CashFlow!J$6*(1-SaleCost)*K18/$B79</f>
        <v>7945223.90189242</v>
      </c>
      <c r="K79" s="71" t="n">
        <f aca="false">(K18+CashFlow!K$35+CashFlow!K$36)*CashFlow!K$5+CashFlow!K$6*(1-SaleCost)*L18/$B79</f>
        <v>0</v>
      </c>
      <c r="L79" s="71" t="n">
        <f aca="false">(L18+CashFlow!L$35+CashFlow!L$36)*CashFlow!L$5+CashFlow!L$6*(1-SaleCost)*M18/$B79</f>
        <v>0</v>
      </c>
      <c r="M79" s="71" t="n">
        <f aca="false">(M18+CashFlow!M$35+CashFlow!M$36)*CashFlow!M$5+CashFlow!M$6*(1-SaleCost)*N18/$B79</f>
        <v>0</v>
      </c>
      <c r="N79" s="71" t="n">
        <f aca="false">(N18+CashFlow!N$35+CashFlow!N$36)*CashFlow!N$5+CashFlow!N$6*(1-SaleCost)*O18/$B79</f>
        <v>0</v>
      </c>
      <c r="O79" s="106" t="n">
        <f aca="false">IFERROR(IRR(C79:N79),IFERROR(IRR(C79:N79,-0.15),IFERROR(IRR(C79:N79,-0.3),"n/m")))</f>
        <v>0.109783684438446</v>
      </c>
    </row>
    <row r="80" customFormat="false" ht="15" hidden="false" customHeight="false" outlineLevel="0" collapsed="false">
      <c r="A80" s="48" t="str">
        <f aca="false">"Growth "&amp;TEXT($B$6,"+0.0%;-0.0%;0.0%")&amp;" / exit cap "&amp;TEXT(B80,"0.00%")</f>
        <v>Growth -2.0% / exit cap 6.50%</v>
      </c>
      <c r="B80" s="104" t="n">
        <f aca="false">ExitCap+(1-2)*StepCap</f>
        <v>0.065</v>
      </c>
      <c r="C80" s="105" t="n">
        <f aca="false">CashFlow!$C$46</f>
        <v>-5582500</v>
      </c>
      <c r="D80" s="71" t="n">
        <f aca="false">(D18+CashFlow!D$35+CashFlow!D$36)*CashFlow!D$5+CashFlow!D$6*(1-SaleCost)*E18/$B80</f>
        <v>315315</v>
      </c>
      <c r="E80" s="71" t="n">
        <f aca="false">(E18+CashFlow!E$35+CashFlow!E$36)*CashFlow!E$5+CashFlow!E$6*(1-SaleCost)*F18/$B80</f>
        <v>402870.4</v>
      </c>
      <c r="F80" s="71" t="n">
        <f aca="false">(F18+CashFlow!F$35+CashFlow!F$36)*CashFlow!F$5+CashFlow!F$6*(1-SaleCost)*G18/$B80</f>
        <v>447117.426</v>
      </c>
      <c r="G80" s="71" t="n">
        <f aca="false">(G18+CashFlow!G$35+CashFlow!G$36)*CashFlow!G$5+CashFlow!G$6*(1-SaleCost)*H18/$B80</f>
        <v>454584.58186</v>
      </c>
      <c r="H80" s="71" t="n">
        <f aca="false">(H18+CashFlow!H$35+CashFlow!H$36)*CashFlow!H$5+CashFlow!H$6*(1-SaleCost)*I18/$B80</f>
        <v>462216.2887266</v>
      </c>
      <c r="I80" s="71" t="n">
        <f aca="false">(I18+CashFlow!I$35+CashFlow!I$36)*CashFlow!I$5+CashFlow!I$6*(1-SaleCost)*J18/$B80</f>
        <v>444246.225821617</v>
      </c>
      <c r="J80" s="71" t="n">
        <f aca="false">(J18+CashFlow!J$35+CashFlow!J$36)*CashFlow!J$5+CashFlow!J$6*(1-SaleCost)*K18/$B80</f>
        <v>7368779.52980933</v>
      </c>
      <c r="K80" s="71" t="n">
        <f aca="false">(K18+CashFlow!K$35+CashFlow!K$36)*CashFlow!K$5+CashFlow!K$6*(1-SaleCost)*L18/$B80</f>
        <v>0</v>
      </c>
      <c r="L80" s="71" t="n">
        <f aca="false">(L18+CashFlow!L$35+CashFlow!L$36)*CashFlow!L$5+CashFlow!L$6*(1-SaleCost)*M18/$B80</f>
        <v>0</v>
      </c>
      <c r="M80" s="71" t="n">
        <f aca="false">(M18+CashFlow!M$35+CashFlow!M$36)*CashFlow!M$5+CashFlow!M$6*(1-SaleCost)*N18/$B80</f>
        <v>0</v>
      </c>
      <c r="N80" s="71" t="n">
        <f aca="false">(N18+CashFlow!N$35+CashFlow!N$36)*CashFlow!N$5+CashFlow!N$6*(1-SaleCost)*O18/$B80</f>
        <v>0</v>
      </c>
      <c r="O80" s="106" t="n">
        <f aca="false">IFERROR(IRR(C80:N80),IFERROR(IRR(C80:N80,-0.15),IFERROR(IRR(C80:N80,-0.3),"n/m")))</f>
        <v>0.100088686626498</v>
      </c>
    </row>
    <row r="81" customFormat="false" ht="15" hidden="false" customHeight="false" outlineLevel="0" collapsed="false">
      <c r="A81" s="48" t="str">
        <f aca="false">"Growth "&amp;TEXT($B$6,"+0.0%;-0.0%;0.0%")&amp;" / exit cap "&amp;TEXT(B81,"0.00%")</f>
        <v>Growth -2.0% / exit cap 7.00%</v>
      </c>
      <c r="B81" s="104" t="n">
        <f aca="false">ExitCap+(2-2)*StepCap</f>
        <v>0.07</v>
      </c>
      <c r="C81" s="105" t="n">
        <f aca="false">CashFlow!$C$46</f>
        <v>-5582500</v>
      </c>
      <c r="D81" s="71" t="n">
        <f aca="false">(D18+CashFlow!D$35+CashFlow!D$36)*CashFlow!D$5+CashFlow!D$6*(1-SaleCost)*E18/$B81</f>
        <v>315315</v>
      </c>
      <c r="E81" s="71" t="n">
        <f aca="false">(E18+CashFlow!E$35+CashFlow!E$36)*CashFlow!E$5+CashFlow!E$6*(1-SaleCost)*F18/$B81</f>
        <v>402870.4</v>
      </c>
      <c r="F81" s="71" t="n">
        <f aca="false">(F18+CashFlow!F$35+CashFlow!F$36)*CashFlow!F$5+CashFlow!F$6*(1-SaleCost)*G18/$B81</f>
        <v>447117.426</v>
      </c>
      <c r="G81" s="71" t="n">
        <f aca="false">(G18+CashFlow!G$35+CashFlow!G$36)*CashFlow!G$5+CashFlow!G$6*(1-SaleCost)*H18/$B81</f>
        <v>454584.58186</v>
      </c>
      <c r="H81" s="71" t="n">
        <f aca="false">(H18+CashFlow!H$35+CashFlow!H$36)*CashFlow!H$5+CashFlow!H$6*(1-SaleCost)*I18/$B81</f>
        <v>462216.2887266</v>
      </c>
      <c r="I81" s="71" t="n">
        <f aca="false">(I18+CashFlow!I$35+CashFlow!I$36)*CashFlow!I$5+CashFlow!I$6*(1-SaleCost)*J18/$B81</f>
        <v>444246.225821617</v>
      </c>
      <c r="J81" s="71" t="n">
        <f aca="false">(J18+CashFlow!J$35+CashFlow!J$36)*CashFlow!J$5+CashFlow!J$6*(1-SaleCost)*K18/$B81</f>
        <v>6874684.3537381</v>
      </c>
      <c r="K81" s="71" t="n">
        <f aca="false">(K18+CashFlow!K$35+CashFlow!K$36)*CashFlow!K$5+CashFlow!K$6*(1-SaleCost)*L18/$B81</f>
        <v>0</v>
      </c>
      <c r="L81" s="71" t="n">
        <f aca="false">(L18+CashFlow!L$35+CashFlow!L$36)*CashFlow!L$5+CashFlow!L$6*(1-SaleCost)*M18/$B81</f>
        <v>0</v>
      </c>
      <c r="M81" s="71" t="n">
        <f aca="false">(M18+CashFlow!M$35+CashFlow!M$36)*CashFlow!M$5+CashFlow!M$6*(1-SaleCost)*N18/$B81</f>
        <v>0</v>
      </c>
      <c r="N81" s="71" t="n">
        <f aca="false">(N18+CashFlow!N$35+CashFlow!N$36)*CashFlow!N$5+CashFlow!N$6*(1-SaleCost)*O18/$B81</f>
        <v>0</v>
      </c>
      <c r="O81" s="106" t="n">
        <f aca="false">IFERROR(IRR(C81:N81),IFERROR(IRR(C81:N81,-0.15),IFERROR(IRR(C81:N81,-0.3),"n/m")))</f>
        <v>0.0913105460154463</v>
      </c>
    </row>
    <row r="82" customFormat="false" ht="15" hidden="false" customHeight="false" outlineLevel="0" collapsed="false">
      <c r="A82" s="48" t="str">
        <f aca="false">"Growth "&amp;TEXT($B$6,"+0.0%;-0.0%;0.0%")&amp;" / exit cap "&amp;TEXT(B82,"0.00%")</f>
        <v>Growth -2.0% / exit cap 7.50%</v>
      </c>
      <c r="B82" s="104" t="n">
        <f aca="false">ExitCap+(3-2)*StepCap</f>
        <v>0.075</v>
      </c>
      <c r="C82" s="105" t="n">
        <f aca="false">CashFlow!$C$46</f>
        <v>-5582500</v>
      </c>
      <c r="D82" s="71" t="n">
        <f aca="false">(D18+CashFlow!D$35+CashFlow!D$36)*CashFlow!D$5+CashFlow!D$6*(1-SaleCost)*E18/$B82</f>
        <v>315315</v>
      </c>
      <c r="E82" s="71" t="n">
        <f aca="false">(E18+CashFlow!E$35+CashFlow!E$36)*CashFlow!E$5+CashFlow!E$6*(1-SaleCost)*F18/$B82</f>
        <v>402870.4</v>
      </c>
      <c r="F82" s="71" t="n">
        <f aca="false">(F18+CashFlow!F$35+CashFlow!F$36)*CashFlow!F$5+CashFlow!F$6*(1-SaleCost)*G18/$B82</f>
        <v>447117.426</v>
      </c>
      <c r="G82" s="71" t="n">
        <f aca="false">(G18+CashFlow!G$35+CashFlow!G$36)*CashFlow!G$5+CashFlow!G$6*(1-SaleCost)*H18/$B82</f>
        <v>454584.58186</v>
      </c>
      <c r="H82" s="71" t="n">
        <f aca="false">(H18+CashFlow!H$35+CashFlow!H$36)*CashFlow!H$5+CashFlow!H$6*(1-SaleCost)*I18/$B82</f>
        <v>462216.2887266</v>
      </c>
      <c r="I82" s="71" t="n">
        <f aca="false">(I18+CashFlow!I$35+CashFlow!I$36)*CashFlow!I$5+CashFlow!I$6*(1-SaleCost)*J18/$B82</f>
        <v>444246.225821617</v>
      </c>
      <c r="J82" s="71" t="n">
        <f aca="false">(J18+CashFlow!J$35+CashFlow!J$36)*CashFlow!J$5+CashFlow!J$6*(1-SaleCost)*K18/$B82</f>
        <v>6446468.53447638</v>
      </c>
      <c r="K82" s="71" t="n">
        <f aca="false">(K18+CashFlow!K$35+CashFlow!K$36)*CashFlow!K$5+CashFlow!K$6*(1-SaleCost)*L18/$B82</f>
        <v>0</v>
      </c>
      <c r="L82" s="71" t="n">
        <f aca="false">(L18+CashFlow!L$35+CashFlow!L$36)*CashFlow!L$5+CashFlow!L$6*(1-SaleCost)*M18/$B82</f>
        <v>0</v>
      </c>
      <c r="M82" s="71" t="n">
        <f aca="false">(M18+CashFlow!M$35+CashFlow!M$36)*CashFlow!M$5+CashFlow!M$6*(1-SaleCost)*N18/$B82</f>
        <v>0</v>
      </c>
      <c r="N82" s="71" t="n">
        <f aca="false">(N18+CashFlow!N$35+CashFlow!N$36)*CashFlow!N$5+CashFlow!N$6*(1-SaleCost)*O18/$B82</f>
        <v>0</v>
      </c>
      <c r="O82" s="106" t="n">
        <f aca="false">IFERROR(IRR(C82:N82),IFERROR(IRR(C82:N82,-0.15),IFERROR(IRR(C82:N82,-0.3),"n/m")))</f>
        <v>0.0833103053236118</v>
      </c>
    </row>
    <row r="83" customFormat="false" ht="15" hidden="false" customHeight="false" outlineLevel="0" collapsed="false">
      <c r="A83" s="48" t="str">
        <f aca="false">"Growth "&amp;TEXT($B$6,"+0.0%;-0.0%;0.0%")&amp;" / exit cap "&amp;TEXT(B83,"0.00%")</f>
        <v>Growth -2.0% / exit cap 8.00%</v>
      </c>
      <c r="B83" s="104" t="n">
        <f aca="false">ExitCap+(4-2)*StepCap</f>
        <v>0.08</v>
      </c>
      <c r="C83" s="105" t="n">
        <f aca="false">CashFlow!$C$46</f>
        <v>-5582500</v>
      </c>
      <c r="D83" s="71" t="n">
        <f aca="false">(D18+CashFlow!D$35+CashFlow!D$36)*CashFlow!D$5+CashFlow!D$6*(1-SaleCost)*E18/$B83</f>
        <v>315315</v>
      </c>
      <c r="E83" s="71" t="n">
        <f aca="false">(E18+CashFlow!E$35+CashFlow!E$36)*CashFlow!E$5+CashFlow!E$6*(1-SaleCost)*F18/$B83</f>
        <v>402870.4</v>
      </c>
      <c r="F83" s="71" t="n">
        <f aca="false">(F18+CashFlow!F$35+CashFlow!F$36)*CashFlow!F$5+CashFlow!F$6*(1-SaleCost)*G18/$B83</f>
        <v>447117.426</v>
      </c>
      <c r="G83" s="71" t="n">
        <f aca="false">(G18+CashFlow!G$35+CashFlow!G$36)*CashFlow!G$5+CashFlow!G$6*(1-SaleCost)*H18/$B83</f>
        <v>454584.58186</v>
      </c>
      <c r="H83" s="71" t="n">
        <f aca="false">(H18+CashFlow!H$35+CashFlow!H$36)*CashFlow!H$5+CashFlow!H$6*(1-SaleCost)*I18/$B83</f>
        <v>462216.2887266</v>
      </c>
      <c r="I83" s="71" t="n">
        <f aca="false">(I18+CashFlow!I$35+CashFlow!I$36)*CashFlow!I$5+CashFlow!I$6*(1-SaleCost)*J18/$B83</f>
        <v>444246.225821617</v>
      </c>
      <c r="J83" s="71" t="n">
        <f aca="false">(J18+CashFlow!J$35+CashFlow!J$36)*CashFlow!J$5+CashFlow!J$6*(1-SaleCost)*K18/$B83</f>
        <v>6071779.69262237</v>
      </c>
      <c r="K83" s="71" t="n">
        <f aca="false">(K18+CashFlow!K$35+CashFlow!K$36)*CashFlow!K$5+CashFlow!K$6*(1-SaleCost)*L18/$B83</f>
        <v>0</v>
      </c>
      <c r="L83" s="71" t="n">
        <f aca="false">(L18+CashFlow!L$35+CashFlow!L$36)*CashFlow!L$5+CashFlow!L$6*(1-SaleCost)*M18/$B83</f>
        <v>0</v>
      </c>
      <c r="M83" s="71" t="n">
        <f aca="false">(M18+CashFlow!M$35+CashFlow!M$36)*CashFlow!M$5+CashFlow!M$6*(1-SaleCost)*N18/$B83</f>
        <v>0</v>
      </c>
      <c r="N83" s="71" t="n">
        <f aca="false">(N18+CashFlow!N$35+CashFlow!N$36)*CashFlow!N$5+CashFlow!N$6*(1-SaleCost)*O18/$B83</f>
        <v>0</v>
      </c>
      <c r="O83" s="106" t="n">
        <f aca="false">IFERROR(IRR(C83:N83),IFERROR(IRR(C83:N83,-0.15),IFERROR(IRR(C83:N83,-0.3),"n/m")))</f>
        <v>0.0759774228489328</v>
      </c>
    </row>
    <row r="84" customFormat="false" ht="15" hidden="false" customHeight="false" outlineLevel="0" collapsed="false">
      <c r="A84" s="48" t="str">
        <f aca="false">"Growth "&amp;TEXT($B$20,"+0.0%;-0.0%;0.0%")&amp;" / exit cap "&amp;TEXT(B84,"0.00%")</f>
        <v>Growth -1.0% / exit cap 6.00%</v>
      </c>
      <c r="B84" s="104" t="n">
        <f aca="false">ExitCap+(0-2)*StepCap</f>
        <v>0.06</v>
      </c>
      <c r="C84" s="105" t="n">
        <f aca="false">CashFlow!$C$46</f>
        <v>-5582500</v>
      </c>
      <c r="D84" s="71" t="n">
        <f aca="false">(D32+CashFlow!D$35+CashFlow!D$36)*CashFlow!D$5+CashFlow!D$6*(1-SaleCost)*E32/$B84</f>
        <v>315315</v>
      </c>
      <c r="E84" s="71" t="n">
        <f aca="false">(E32+CashFlow!E$35+CashFlow!E$36)*CashFlow!E$5+CashFlow!E$6*(1-SaleCost)*F32/$B84</f>
        <v>405864.8</v>
      </c>
      <c r="F84" s="71" t="n">
        <f aca="false">(F32+CashFlow!F$35+CashFlow!F$36)*CashFlow!F$5+CashFlow!F$6*(1-SaleCost)*G32/$B84</f>
        <v>453034.064</v>
      </c>
      <c r="G84" s="71" t="n">
        <f aca="false">(G32+CashFlow!G$35+CashFlow!G$36)*CashFlow!G$5+CashFlow!G$6*(1-SaleCost)*H32/$B84</f>
        <v>463592.73608</v>
      </c>
      <c r="H84" s="71" t="n">
        <f aca="false">(H32+CashFlow!H$35+CashFlow!H$36)*CashFlow!H$5+CashFlow!H$6*(1-SaleCost)*I32/$B84</f>
        <v>474407.5213256</v>
      </c>
      <c r="I84" s="71" t="n">
        <f aca="false">(I32+CashFlow!I$35+CashFlow!I$36)*CashFlow!I$5+CashFlow!I$6*(1-SaleCost)*J32/$B84</f>
        <v>459714.227520143</v>
      </c>
      <c r="J84" s="71" t="n">
        <f aca="false">(J32+CashFlow!J$35+CashFlow!J$36)*CashFlow!J$5+CashFlow!J$6*(1-SaleCost)*K32/$B84</f>
        <v>8328483.33532679</v>
      </c>
      <c r="K84" s="71" t="n">
        <f aca="false">(K32+CashFlow!K$35+CashFlow!K$36)*CashFlow!K$5+CashFlow!K$6*(1-SaleCost)*L32/$B84</f>
        <v>0</v>
      </c>
      <c r="L84" s="71" t="n">
        <f aca="false">(L32+CashFlow!L$35+CashFlow!L$36)*CashFlow!L$5+CashFlow!L$6*(1-SaleCost)*M32/$B84</f>
        <v>0</v>
      </c>
      <c r="M84" s="71" t="n">
        <f aca="false">(M32+CashFlow!M$35+CashFlow!M$36)*CashFlow!M$5+CashFlow!M$6*(1-SaleCost)*N32/$B84</f>
        <v>0</v>
      </c>
      <c r="N84" s="71" t="n">
        <f aca="false">(N32+CashFlow!N$35+CashFlow!N$36)*CashFlow!N$5+CashFlow!N$6*(1-SaleCost)*O32/$B84</f>
        <v>0</v>
      </c>
      <c r="O84" s="106" t="n">
        <f aca="false">IFERROR(IRR(C84:N84),IFERROR(IRR(C84:N84,-0.15),IFERROR(IRR(C84:N84,-0.3),"n/m")))</f>
        <v>0.116871839723961</v>
      </c>
    </row>
    <row r="85" customFormat="false" ht="15" hidden="false" customHeight="false" outlineLevel="0" collapsed="false">
      <c r="A85" s="48" t="str">
        <f aca="false">"Growth "&amp;TEXT($B$20,"+0.0%;-0.0%;0.0%")&amp;" / exit cap "&amp;TEXT(B85,"0.00%")</f>
        <v>Growth -1.0% / exit cap 6.50%</v>
      </c>
      <c r="B85" s="104" t="n">
        <f aca="false">ExitCap+(1-2)*StepCap</f>
        <v>0.065</v>
      </c>
      <c r="C85" s="105" t="n">
        <f aca="false">CashFlow!$C$46</f>
        <v>-5582500</v>
      </c>
      <c r="D85" s="71" t="n">
        <f aca="false">(D32+CashFlow!D$35+CashFlow!D$36)*CashFlow!D$5+CashFlow!D$6*(1-SaleCost)*E32/$B85</f>
        <v>315315</v>
      </c>
      <c r="E85" s="71" t="n">
        <f aca="false">(E32+CashFlow!E$35+CashFlow!E$36)*CashFlow!E$5+CashFlow!E$6*(1-SaleCost)*F32/$B85</f>
        <v>405864.8</v>
      </c>
      <c r="F85" s="71" t="n">
        <f aca="false">(F32+CashFlow!F$35+CashFlow!F$36)*CashFlow!F$5+CashFlow!F$6*(1-SaleCost)*G32/$B85</f>
        <v>453034.064</v>
      </c>
      <c r="G85" s="71" t="n">
        <f aca="false">(G32+CashFlow!G$35+CashFlow!G$36)*CashFlow!G$5+CashFlow!G$6*(1-SaleCost)*H32/$B85</f>
        <v>463592.73608</v>
      </c>
      <c r="H85" s="71" t="n">
        <f aca="false">(H32+CashFlow!H$35+CashFlow!H$36)*CashFlow!H$5+CashFlow!H$6*(1-SaleCost)*I32/$B85</f>
        <v>474407.5213256</v>
      </c>
      <c r="I85" s="71" t="n">
        <f aca="false">(I32+CashFlow!I$35+CashFlow!I$36)*CashFlow!I$5+CashFlow!I$6*(1-SaleCost)*J32/$B85</f>
        <v>459714.227520143</v>
      </c>
      <c r="J85" s="71" t="n">
        <f aca="false">(J32+CashFlow!J$35+CashFlow!J$36)*CashFlow!J$5+CashFlow!J$6*(1-SaleCost)*K32/$B85</f>
        <v>7724006.74802755</v>
      </c>
      <c r="K85" s="71" t="n">
        <f aca="false">(K32+CashFlow!K$35+CashFlow!K$36)*CashFlow!K$5+CashFlow!K$6*(1-SaleCost)*L32/$B85</f>
        <v>0</v>
      </c>
      <c r="L85" s="71" t="n">
        <f aca="false">(L32+CashFlow!L$35+CashFlow!L$36)*CashFlow!L$5+CashFlow!L$6*(1-SaleCost)*M32/$B85</f>
        <v>0</v>
      </c>
      <c r="M85" s="71" t="n">
        <f aca="false">(M32+CashFlow!M$35+CashFlow!M$36)*CashFlow!M$5+CashFlow!M$6*(1-SaleCost)*N32/$B85</f>
        <v>0</v>
      </c>
      <c r="N85" s="71" t="n">
        <f aca="false">(N32+CashFlow!N$35+CashFlow!N$36)*CashFlow!N$5+CashFlow!N$6*(1-SaleCost)*O32/$B85</f>
        <v>0</v>
      </c>
      <c r="O85" s="106" t="n">
        <f aca="false">IFERROR(IRR(C85:N85),IFERROR(IRR(C85:N85,-0.15),IFERROR(IRR(C85:N85,-0.3),"n/m")))</f>
        <v>0.107096987649448</v>
      </c>
    </row>
    <row r="86" customFormat="false" ht="15" hidden="false" customHeight="false" outlineLevel="0" collapsed="false">
      <c r="A86" s="48" t="str">
        <f aca="false">"Growth "&amp;TEXT($B$20,"+0.0%;-0.0%;0.0%")&amp;" / exit cap "&amp;TEXT(B86,"0.00%")</f>
        <v>Growth -1.0% / exit cap 7.00%</v>
      </c>
      <c r="B86" s="104" t="n">
        <f aca="false">ExitCap+(2-2)*StepCap</f>
        <v>0.07</v>
      </c>
      <c r="C86" s="105" t="n">
        <f aca="false">CashFlow!$C$46</f>
        <v>-5582500</v>
      </c>
      <c r="D86" s="71" t="n">
        <f aca="false">(D32+CashFlow!D$35+CashFlow!D$36)*CashFlow!D$5+CashFlow!D$6*(1-SaleCost)*E32/$B86</f>
        <v>315315</v>
      </c>
      <c r="E86" s="71" t="n">
        <f aca="false">(E32+CashFlow!E$35+CashFlow!E$36)*CashFlow!E$5+CashFlow!E$6*(1-SaleCost)*F32/$B86</f>
        <v>405864.8</v>
      </c>
      <c r="F86" s="71" t="n">
        <f aca="false">(F32+CashFlow!F$35+CashFlow!F$36)*CashFlow!F$5+CashFlow!F$6*(1-SaleCost)*G32/$B86</f>
        <v>453034.064</v>
      </c>
      <c r="G86" s="71" t="n">
        <f aca="false">(G32+CashFlow!G$35+CashFlow!G$36)*CashFlow!G$5+CashFlow!G$6*(1-SaleCost)*H32/$B86</f>
        <v>463592.73608</v>
      </c>
      <c r="H86" s="71" t="n">
        <f aca="false">(H32+CashFlow!H$35+CashFlow!H$36)*CashFlow!H$5+CashFlow!H$6*(1-SaleCost)*I32/$B86</f>
        <v>474407.5213256</v>
      </c>
      <c r="I86" s="71" t="n">
        <f aca="false">(I32+CashFlow!I$35+CashFlow!I$36)*CashFlow!I$5+CashFlow!I$6*(1-SaleCost)*J32/$B86</f>
        <v>459714.227520143</v>
      </c>
      <c r="J86" s="71" t="n">
        <f aca="false">(J32+CashFlow!J$35+CashFlow!J$36)*CashFlow!J$5+CashFlow!J$6*(1-SaleCost)*K32/$B86</f>
        <v>7205883.95891392</v>
      </c>
      <c r="K86" s="71" t="n">
        <f aca="false">(K32+CashFlow!K$35+CashFlow!K$36)*CashFlow!K$5+CashFlow!K$6*(1-SaleCost)*L32/$B86</f>
        <v>0</v>
      </c>
      <c r="L86" s="71" t="n">
        <f aca="false">(L32+CashFlow!L$35+CashFlow!L$36)*CashFlow!L$5+CashFlow!L$6*(1-SaleCost)*M32/$B86</f>
        <v>0</v>
      </c>
      <c r="M86" s="71" t="n">
        <f aca="false">(M32+CashFlow!M$35+CashFlow!M$36)*CashFlow!M$5+CashFlow!M$6*(1-SaleCost)*N32/$B86</f>
        <v>0</v>
      </c>
      <c r="N86" s="71" t="n">
        <f aca="false">(N32+CashFlow!N$35+CashFlow!N$36)*CashFlow!N$5+CashFlow!N$6*(1-SaleCost)*O32/$B86</f>
        <v>0</v>
      </c>
      <c r="O86" s="106" t="n">
        <f aca="false">IFERROR(IRR(C86:N86),IFERROR(IRR(C86:N86,-0.15),IFERROR(IRR(C86:N86,-0.3),"n/m")))</f>
        <v>0.098245891392685</v>
      </c>
    </row>
    <row r="87" customFormat="false" ht="15" hidden="false" customHeight="false" outlineLevel="0" collapsed="false">
      <c r="A87" s="48" t="str">
        <f aca="false">"Growth "&amp;TEXT($B$20,"+0.0%;-0.0%;0.0%")&amp;" / exit cap "&amp;TEXT(B87,"0.00%")</f>
        <v>Growth -1.0% / exit cap 7.50%</v>
      </c>
      <c r="B87" s="104" t="n">
        <f aca="false">ExitCap+(3-2)*StepCap</f>
        <v>0.075</v>
      </c>
      <c r="C87" s="105" t="n">
        <f aca="false">CashFlow!$C$46</f>
        <v>-5582500</v>
      </c>
      <c r="D87" s="71" t="n">
        <f aca="false">(D32+CashFlow!D$35+CashFlow!D$36)*CashFlow!D$5+CashFlow!D$6*(1-SaleCost)*E32/$B87</f>
        <v>315315</v>
      </c>
      <c r="E87" s="71" t="n">
        <f aca="false">(E32+CashFlow!E$35+CashFlow!E$36)*CashFlow!E$5+CashFlow!E$6*(1-SaleCost)*F32/$B87</f>
        <v>405864.8</v>
      </c>
      <c r="F87" s="71" t="n">
        <f aca="false">(F32+CashFlow!F$35+CashFlow!F$36)*CashFlow!F$5+CashFlow!F$6*(1-SaleCost)*G32/$B87</f>
        <v>453034.064</v>
      </c>
      <c r="G87" s="71" t="n">
        <f aca="false">(G32+CashFlow!G$35+CashFlow!G$36)*CashFlow!G$5+CashFlow!G$6*(1-SaleCost)*H32/$B87</f>
        <v>463592.73608</v>
      </c>
      <c r="H87" s="71" t="n">
        <f aca="false">(H32+CashFlow!H$35+CashFlow!H$36)*CashFlow!H$5+CashFlow!H$6*(1-SaleCost)*I32/$B87</f>
        <v>474407.5213256</v>
      </c>
      <c r="I87" s="71" t="n">
        <f aca="false">(I32+CashFlow!I$35+CashFlow!I$36)*CashFlow!I$5+CashFlow!I$6*(1-SaleCost)*J32/$B87</f>
        <v>459714.227520143</v>
      </c>
      <c r="J87" s="71" t="n">
        <f aca="false">(J32+CashFlow!J$35+CashFlow!J$36)*CashFlow!J$5+CashFlow!J$6*(1-SaleCost)*K32/$B87</f>
        <v>6756844.20834878</v>
      </c>
      <c r="K87" s="71" t="n">
        <f aca="false">(K32+CashFlow!K$35+CashFlow!K$36)*CashFlow!K$5+CashFlow!K$6*(1-SaleCost)*L32/$B87</f>
        <v>0</v>
      </c>
      <c r="L87" s="71" t="n">
        <f aca="false">(L32+CashFlow!L$35+CashFlow!L$36)*CashFlow!L$5+CashFlow!L$6*(1-SaleCost)*M32/$B87</f>
        <v>0</v>
      </c>
      <c r="M87" s="71" t="n">
        <f aca="false">(M32+CashFlow!M$35+CashFlow!M$36)*CashFlow!M$5+CashFlow!M$6*(1-SaleCost)*N32/$B87</f>
        <v>0</v>
      </c>
      <c r="N87" s="71" t="n">
        <f aca="false">(N32+CashFlow!N$35+CashFlow!N$36)*CashFlow!N$5+CashFlow!N$6*(1-SaleCost)*O32/$B87</f>
        <v>0</v>
      </c>
      <c r="O87" s="106" t="n">
        <f aca="false">IFERROR(IRR(C87:N87),IFERROR(IRR(C87:N87,-0.15),IFERROR(IRR(C87:N87,-0.3),"n/m")))</f>
        <v>0.0901785831181062</v>
      </c>
    </row>
    <row r="88" customFormat="false" ht="15" hidden="false" customHeight="false" outlineLevel="0" collapsed="false">
      <c r="A88" s="48" t="str">
        <f aca="false">"Growth "&amp;TEXT($B$20,"+0.0%;-0.0%;0.0%")&amp;" / exit cap "&amp;TEXT(B88,"0.00%")</f>
        <v>Growth -1.0% / exit cap 8.00%</v>
      </c>
      <c r="B88" s="104" t="n">
        <f aca="false">ExitCap+(4-2)*StepCap</f>
        <v>0.08</v>
      </c>
      <c r="C88" s="105" t="n">
        <f aca="false">CashFlow!$C$46</f>
        <v>-5582500</v>
      </c>
      <c r="D88" s="71" t="n">
        <f aca="false">(D32+CashFlow!D$35+CashFlow!D$36)*CashFlow!D$5+CashFlow!D$6*(1-SaleCost)*E32/$B88</f>
        <v>315315</v>
      </c>
      <c r="E88" s="71" t="n">
        <f aca="false">(E32+CashFlow!E$35+CashFlow!E$36)*CashFlow!E$5+CashFlow!E$6*(1-SaleCost)*F32/$B88</f>
        <v>405864.8</v>
      </c>
      <c r="F88" s="71" t="n">
        <f aca="false">(F32+CashFlow!F$35+CashFlow!F$36)*CashFlow!F$5+CashFlow!F$6*(1-SaleCost)*G32/$B88</f>
        <v>453034.064</v>
      </c>
      <c r="G88" s="71" t="n">
        <f aca="false">(G32+CashFlow!G$35+CashFlow!G$36)*CashFlow!G$5+CashFlow!G$6*(1-SaleCost)*H32/$B88</f>
        <v>463592.73608</v>
      </c>
      <c r="H88" s="71" t="n">
        <f aca="false">(H32+CashFlow!H$35+CashFlow!H$36)*CashFlow!H$5+CashFlow!H$6*(1-SaleCost)*I32/$B88</f>
        <v>474407.5213256</v>
      </c>
      <c r="I88" s="71" t="n">
        <f aca="false">(I32+CashFlow!I$35+CashFlow!I$36)*CashFlow!I$5+CashFlow!I$6*(1-SaleCost)*J32/$B88</f>
        <v>459714.227520143</v>
      </c>
      <c r="J88" s="71" t="n">
        <f aca="false">(J32+CashFlow!J$35+CashFlow!J$36)*CashFlow!J$5+CashFlow!J$6*(1-SaleCost)*K32/$B88</f>
        <v>6363934.42660428</v>
      </c>
      <c r="K88" s="71" t="n">
        <f aca="false">(K32+CashFlow!K$35+CashFlow!K$36)*CashFlow!K$5+CashFlow!K$6*(1-SaleCost)*L32/$B88</f>
        <v>0</v>
      </c>
      <c r="L88" s="71" t="n">
        <f aca="false">(L32+CashFlow!L$35+CashFlow!L$36)*CashFlow!L$5+CashFlow!L$6*(1-SaleCost)*M32/$B88</f>
        <v>0</v>
      </c>
      <c r="M88" s="71" t="n">
        <f aca="false">(M32+CashFlow!M$35+CashFlow!M$36)*CashFlow!M$5+CashFlow!M$6*(1-SaleCost)*N32/$B88</f>
        <v>0</v>
      </c>
      <c r="N88" s="71" t="n">
        <f aca="false">(N32+CashFlow!N$35+CashFlow!N$36)*CashFlow!N$5+CashFlow!N$6*(1-SaleCost)*O32/$B88</f>
        <v>0</v>
      </c>
      <c r="O88" s="106" t="n">
        <f aca="false">IFERROR(IRR(C88:N88),IFERROR(IRR(C88:N88,-0.15),IFERROR(IRR(C88:N88,-0.3),"n/m")))</f>
        <v>0.0827837142069729</v>
      </c>
    </row>
    <row r="89" customFormat="false" ht="15" hidden="false" customHeight="false" outlineLevel="0" collapsed="false">
      <c r="A89" s="48" t="str">
        <f aca="false">"Growth "&amp;TEXT($B$34,"+0.0%;-0.0%;0.0%")&amp;" / exit cap "&amp;TEXT(B89,"0.00%")</f>
        <v>Growth 0.0% / exit cap 6.00%</v>
      </c>
      <c r="B89" s="104" t="n">
        <f aca="false">ExitCap+(0-2)*StepCap</f>
        <v>0.06</v>
      </c>
      <c r="C89" s="105" t="n">
        <f aca="false">CashFlow!$C$46</f>
        <v>-5582500</v>
      </c>
      <c r="D89" s="71" t="n">
        <f aca="false">(D46+CashFlow!D$35+CashFlow!D$36)*CashFlow!D$5+CashFlow!D$6*(1-SaleCost)*E46/$B89</f>
        <v>315315</v>
      </c>
      <c r="E89" s="71" t="n">
        <f aca="false">(E46+CashFlow!E$35+CashFlow!E$36)*CashFlow!E$5+CashFlow!E$6*(1-SaleCost)*F46/$B89</f>
        <v>408859.2</v>
      </c>
      <c r="F89" s="71" t="n">
        <f aca="false">(F46+CashFlow!F$35+CashFlow!F$36)*CashFlow!F$5+CashFlow!F$6*(1-SaleCost)*G46/$B89</f>
        <v>459008.994</v>
      </c>
      <c r="G89" s="71" t="n">
        <f aca="false">(G46+CashFlow!G$35+CashFlow!G$36)*CashFlow!G$5+CashFlow!G$6*(1-SaleCost)*H46/$B89</f>
        <v>472779.26382</v>
      </c>
      <c r="H89" s="71" t="n">
        <f aca="false">(H46+CashFlow!H$35+CashFlow!H$36)*CashFlow!H$5+CashFlow!H$6*(1-SaleCost)*I46/$B89</f>
        <v>486962.6417346</v>
      </c>
      <c r="I89" s="71" t="n">
        <f aca="false">(I46+CashFlow!I$35+CashFlow!I$36)*CashFlow!I$5+CashFlow!I$6*(1-SaleCost)*J46/$B89</f>
        <v>475800.858314949</v>
      </c>
      <c r="J89" s="71" t="n">
        <f aca="false">(J46+CashFlow!J$35+CashFlow!J$36)*CashFlow!J$5+CashFlow!J$6*(1-SaleCost)*K46/$B89</f>
        <v>8734768.01697444</v>
      </c>
      <c r="K89" s="71" t="n">
        <f aca="false">(K46+CashFlow!K$35+CashFlow!K$36)*CashFlow!K$5+CashFlow!K$6*(1-SaleCost)*L46/$B89</f>
        <v>0</v>
      </c>
      <c r="L89" s="71" t="n">
        <f aca="false">(L46+CashFlow!L$35+CashFlow!L$36)*CashFlow!L$5+CashFlow!L$6*(1-SaleCost)*M46/$B89</f>
        <v>0</v>
      </c>
      <c r="M89" s="71" t="n">
        <f aca="false">(M46+CashFlow!M$35+CashFlow!M$36)*CashFlow!M$5+CashFlow!M$6*(1-SaleCost)*N46/$B89</f>
        <v>0</v>
      </c>
      <c r="N89" s="71" t="n">
        <f aca="false">(N46+CashFlow!N$35+CashFlow!N$36)*CashFlow!N$5+CashFlow!N$6*(1-SaleCost)*O46/$B89</f>
        <v>0</v>
      </c>
      <c r="O89" s="106" t="n">
        <f aca="false">IFERROR(IRR(C89:N89),IFERROR(IRR(C89:N89,-0.15),IFERROR(IRR(C89:N89,-0.3),"n/m")))</f>
        <v>0.124077647843947</v>
      </c>
    </row>
    <row r="90" customFormat="false" ht="15" hidden="false" customHeight="false" outlineLevel="0" collapsed="false">
      <c r="A90" s="48" t="str">
        <f aca="false">"Growth "&amp;TEXT($B$34,"+0.0%;-0.0%;0.0%")&amp;" / exit cap "&amp;TEXT(B90,"0.00%")</f>
        <v>Growth 0.0% / exit cap 6.50%</v>
      </c>
      <c r="B90" s="104" t="n">
        <f aca="false">ExitCap+(1-2)*StepCap</f>
        <v>0.065</v>
      </c>
      <c r="C90" s="105" t="n">
        <f aca="false">CashFlow!$C$46</f>
        <v>-5582500</v>
      </c>
      <c r="D90" s="71" t="n">
        <f aca="false">(D46+CashFlow!D$35+CashFlow!D$36)*CashFlow!D$5+CashFlow!D$6*(1-SaleCost)*E46/$B90</f>
        <v>315315</v>
      </c>
      <c r="E90" s="71" t="n">
        <f aca="false">(E46+CashFlow!E$35+CashFlow!E$36)*CashFlow!E$5+CashFlow!E$6*(1-SaleCost)*F46/$B90</f>
        <v>408859.2</v>
      </c>
      <c r="F90" s="71" t="n">
        <f aca="false">(F46+CashFlow!F$35+CashFlow!F$36)*CashFlow!F$5+CashFlow!F$6*(1-SaleCost)*G46/$B90</f>
        <v>459008.994</v>
      </c>
      <c r="G90" s="71" t="n">
        <f aca="false">(G46+CashFlow!G$35+CashFlow!G$36)*CashFlow!G$5+CashFlow!G$6*(1-SaleCost)*H46/$B90</f>
        <v>472779.26382</v>
      </c>
      <c r="H90" s="71" t="n">
        <f aca="false">(H46+CashFlow!H$35+CashFlow!H$36)*CashFlow!H$5+CashFlow!H$6*(1-SaleCost)*I46/$B90</f>
        <v>486962.6417346</v>
      </c>
      <c r="I90" s="71" t="n">
        <f aca="false">(I46+CashFlow!I$35+CashFlow!I$36)*CashFlow!I$5+CashFlow!I$6*(1-SaleCost)*J46/$B90</f>
        <v>475800.858314949</v>
      </c>
      <c r="J90" s="71" t="n">
        <f aca="false">(J46+CashFlow!J$35+CashFlow!J$36)*CashFlow!J$5+CashFlow!J$6*(1-SaleCost)*K46/$B90</f>
        <v>8100560.85290444</v>
      </c>
      <c r="K90" s="71" t="n">
        <f aca="false">(K46+CashFlow!K$35+CashFlow!K$36)*CashFlow!K$5+CashFlow!K$6*(1-SaleCost)*L46/$B90</f>
        <v>0</v>
      </c>
      <c r="L90" s="71" t="n">
        <f aca="false">(L46+CashFlow!L$35+CashFlow!L$36)*CashFlow!L$5+CashFlow!L$6*(1-SaleCost)*M46/$B90</f>
        <v>0</v>
      </c>
      <c r="M90" s="71" t="n">
        <f aca="false">(M46+CashFlow!M$35+CashFlow!M$36)*CashFlow!M$5+CashFlow!M$6*(1-SaleCost)*N46/$B90</f>
        <v>0</v>
      </c>
      <c r="N90" s="71" t="n">
        <f aca="false">(N46+CashFlow!N$35+CashFlow!N$36)*CashFlow!N$5+CashFlow!N$6*(1-SaleCost)*O46/$B90</f>
        <v>0</v>
      </c>
      <c r="O90" s="106" t="n">
        <f aca="false">IFERROR(IRR(C90:N90),IFERROR(IRR(C90:N90,-0.15),IFERROR(IRR(C90:N90,-0.3),"n/m")))</f>
        <v>0.114221130294421</v>
      </c>
    </row>
    <row r="91" customFormat="false" ht="15" hidden="false" customHeight="false" outlineLevel="0" collapsed="false">
      <c r="A91" s="48" t="str">
        <f aca="false">"Growth "&amp;TEXT($B$34,"+0.0%;-0.0%;0.0%")&amp;" / exit cap "&amp;TEXT(B91,"0.00%")</f>
        <v>Growth 0.0% / exit cap 7.00%</v>
      </c>
      <c r="B91" s="104" t="n">
        <f aca="false">ExitCap+(2-2)*StepCap</f>
        <v>0.07</v>
      </c>
      <c r="C91" s="105" t="n">
        <f aca="false">CashFlow!$C$46</f>
        <v>-5582500</v>
      </c>
      <c r="D91" s="71" t="n">
        <f aca="false">(D46+CashFlow!D$35+CashFlow!D$36)*CashFlow!D$5+CashFlow!D$6*(1-SaleCost)*E46/$B91</f>
        <v>315315</v>
      </c>
      <c r="E91" s="71" t="n">
        <f aca="false">(E46+CashFlow!E$35+CashFlow!E$36)*CashFlow!E$5+CashFlow!E$6*(1-SaleCost)*F46/$B91</f>
        <v>408859.2</v>
      </c>
      <c r="F91" s="71" t="n">
        <f aca="false">(F46+CashFlow!F$35+CashFlow!F$36)*CashFlow!F$5+CashFlow!F$6*(1-SaleCost)*G46/$B91</f>
        <v>459008.994</v>
      </c>
      <c r="G91" s="71" t="n">
        <f aca="false">(G46+CashFlow!G$35+CashFlow!G$36)*CashFlow!G$5+CashFlow!G$6*(1-SaleCost)*H46/$B91</f>
        <v>472779.26382</v>
      </c>
      <c r="H91" s="71" t="n">
        <f aca="false">(H46+CashFlow!H$35+CashFlow!H$36)*CashFlow!H$5+CashFlow!H$6*(1-SaleCost)*I46/$B91</f>
        <v>486962.6417346</v>
      </c>
      <c r="I91" s="71" t="n">
        <f aca="false">(I46+CashFlow!I$35+CashFlow!I$36)*CashFlow!I$5+CashFlow!I$6*(1-SaleCost)*J46/$B91</f>
        <v>475800.858314949</v>
      </c>
      <c r="J91" s="71" t="n">
        <f aca="false">(J46+CashFlow!J$35+CashFlow!J$36)*CashFlow!J$5+CashFlow!J$6*(1-SaleCost)*K46/$B91</f>
        <v>7556954.71227301</v>
      </c>
      <c r="K91" s="71" t="n">
        <f aca="false">(K46+CashFlow!K$35+CashFlow!K$36)*CashFlow!K$5+CashFlow!K$6*(1-SaleCost)*L46/$B91</f>
        <v>0</v>
      </c>
      <c r="L91" s="71" t="n">
        <f aca="false">(L46+CashFlow!L$35+CashFlow!L$36)*CashFlow!L$5+CashFlow!L$6*(1-SaleCost)*M46/$B91</f>
        <v>0</v>
      </c>
      <c r="M91" s="71" t="n">
        <f aca="false">(M46+CashFlow!M$35+CashFlow!M$36)*CashFlow!M$5+CashFlow!M$6*(1-SaleCost)*N46/$B91</f>
        <v>0</v>
      </c>
      <c r="N91" s="71" t="n">
        <f aca="false">(N46+CashFlow!N$35+CashFlow!N$36)*CashFlow!N$5+CashFlow!N$6*(1-SaleCost)*O46/$B91</f>
        <v>0</v>
      </c>
      <c r="O91" s="106" t="n">
        <f aca="false">IFERROR(IRR(C91:N91),IFERROR(IRR(C91:N91,-0.15),IFERROR(IRR(C91:N91,-0.3),"n/m")))</f>
        <v>0.105295407645052</v>
      </c>
    </row>
    <row r="92" customFormat="false" ht="15" hidden="false" customHeight="false" outlineLevel="0" collapsed="false">
      <c r="A92" s="48" t="str">
        <f aca="false">"Growth "&amp;TEXT($B$34,"+0.0%;-0.0%;0.0%")&amp;" / exit cap "&amp;TEXT(B92,"0.00%")</f>
        <v>Growth 0.0% / exit cap 7.50%</v>
      </c>
      <c r="B92" s="104" t="n">
        <f aca="false">ExitCap+(3-2)*StepCap</f>
        <v>0.075</v>
      </c>
      <c r="C92" s="105" t="n">
        <f aca="false">CashFlow!$C$46</f>
        <v>-5582500</v>
      </c>
      <c r="D92" s="71" t="n">
        <f aca="false">(D46+CashFlow!D$35+CashFlow!D$36)*CashFlow!D$5+CashFlow!D$6*(1-SaleCost)*E46/$B92</f>
        <v>315315</v>
      </c>
      <c r="E92" s="71" t="n">
        <f aca="false">(E46+CashFlow!E$35+CashFlow!E$36)*CashFlow!E$5+CashFlow!E$6*(1-SaleCost)*F46/$B92</f>
        <v>408859.2</v>
      </c>
      <c r="F92" s="71" t="n">
        <f aca="false">(F46+CashFlow!F$35+CashFlow!F$36)*CashFlow!F$5+CashFlow!F$6*(1-SaleCost)*G46/$B92</f>
        <v>459008.994</v>
      </c>
      <c r="G92" s="71" t="n">
        <f aca="false">(G46+CashFlow!G$35+CashFlow!G$36)*CashFlow!G$5+CashFlow!G$6*(1-SaleCost)*H46/$B92</f>
        <v>472779.26382</v>
      </c>
      <c r="H92" s="71" t="n">
        <f aca="false">(H46+CashFlow!H$35+CashFlow!H$36)*CashFlow!H$5+CashFlow!H$6*(1-SaleCost)*I46/$B92</f>
        <v>486962.6417346</v>
      </c>
      <c r="I92" s="71" t="n">
        <f aca="false">(I46+CashFlow!I$35+CashFlow!I$36)*CashFlow!I$5+CashFlow!I$6*(1-SaleCost)*J46/$B92</f>
        <v>475800.858314949</v>
      </c>
      <c r="J92" s="71" t="n">
        <f aca="false">(J46+CashFlow!J$35+CashFlow!J$36)*CashFlow!J$5+CashFlow!J$6*(1-SaleCost)*K46/$B92</f>
        <v>7085829.39039244</v>
      </c>
      <c r="K92" s="71" t="n">
        <f aca="false">(K46+CashFlow!K$35+CashFlow!K$36)*CashFlow!K$5+CashFlow!K$6*(1-SaleCost)*L46/$B92</f>
        <v>0</v>
      </c>
      <c r="L92" s="71" t="n">
        <f aca="false">(L46+CashFlow!L$35+CashFlow!L$36)*CashFlow!L$5+CashFlow!L$6*(1-SaleCost)*M46/$B92</f>
        <v>0</v>
      </c>
      <c r="M92" s="71" t="n">
        <f aca="false">(M46+CashFlow!M$35+CashFlow!M$36)*CashFlow!M$5+CashFlow!M$6*(1-SaleCost)*N46/$B92</f>
        <v>0</v>
      </c>
      <c r="N92" s="71" t="n">
        <f aca="false">(N46+CashFlow!N$35+CashFlow!N$36)*CashFlow!N$5+CashFlow!N$6*(1-SaleCost)*O46/$B92</f>
        <v>0</v>
      </c>
      <c r="O92" s="106" t="n">
        <f aca="false">IFERROR(IRR(C92:N92),IFERROR(IRR(C92:N92,-0.15),IFERROR(IRR(C92:N92,-0.3),"n/m")))</f>
        <v>0.097159481713738</v>
      </c>
    </row>
    <row r="93" customFormat="false" ht="15" hidden="false" customHeight="false" outlineLevel="0" collapsed="false">
      <c r="A93" s="48" t="str">
        <f aca="false">"Growth "&amp;TEXT($B$34,"+0.0%;-0.0%;0.0%")&amp;" / exit cap "&amp;TEXT(B93,"0.00%")</f>
        <v>Growth 0.0% / exit cap 8.00%</v>
      </c>
      <c r="B93" s="104" t="n">
        <f aca="false">ExitCap+(4-2)*StepCap</f>
        <v>0.08</v>
      </c>
      <c r="C93" s="105" t="n">
        <f aca="false">CashFlow!$C$46</f>
        <v>-5582500</v>
      </c>
      <c r="D93" s="71" t="n">
        <f aca="false">(D46+CashFlow!D$35+CashFlow!D$36)*CashFlow!D$5+CashFlow!D$6*(1-SaleCost)*E46/$B93</f>
        <v>315315</v>
      </c>
      <c r="E93" s="71" t="n">
        <f aca="false">(E46+CashFlow!E$35+CashFlow!E$36)*CashFlow!E$5+CashFlow!E$6*(1-SaleCost)*F46/$B93</f>
        <v>408859.2</v>
      </c>
      <c r="F93" s="71" t="n">
        <f aca="false">(F46+CashFlow!F$35+CashFlow!F$36)*CashFlow!F$5+CashFlow!F$6*(1-SaleCost)*G46/$B93</f>
        <v>459008.994</v>
      </c>
      <c r="G93" s="71" t="n">
        <f aca="false">(G46+CashFlow!G$35+CashFlow!G$36)*CashFlow!G$5+CashFlow!G$6*(1-SaleCost)*H46/$B93</f>
        <v>472779.26382</v>
      </c>
      <c r="H93" s="71" t="n">
        <f aca="false">(H46+CashFlow!H$35+CashFlow!H$36)*CashFlow!H$5+CashFlow!H$6*(1-SaleCost)*I46/$B93</f>
        <v>486962.6417346</v>
      </c>
      <c r="I93" s="71" t="n">
        <f aca="false">(I46+CashFlow!I$35+CashFlow!I$36)*CashFlow!I$5+CashFlow!I$6*(1-SaleCost)*J46/$B93</f>
        <v>475800.858314949</v>
      </c>
      <c r="J93" s="71" t="n">
        <f aca="false">(J46+CashFlow!J$35+CashFlow!J$36)*CashFlow!J$5+CashFlow!J$6*(1-SaleCost)*K46/$B93</f>
        <v>6673594.73374693</v>
      </c>
      <c r="K93" s="71" t="n">
        <f aca="false">(K46+CashFlow!K$35+CashFlow!K$36)*CashFlow!K$5+CashFlow!K$6*(1-SaleCost)*L46/$B93</f>
        <v>0</v>
      </c>
      <c r="L93" s="71" t="n">
        <f aca="false">(L46+CashFlow!L$35+CashFlow!L$36)*CashFlow!L$5+CashFlow!L$6*(1-SaleCost)*M46/$B93</f>
        <v>0</v>
      </c>
      <c r="M93" s="71" t="n">
        <f aca="false">(M46+CashFlow!M$35+CashFlow!M$36)*CashFlow!M$5+CashFlow!M$6*(1-SaleCost)*N46/$B93</f>
        <v>0</v>
      </c>
      <c r="N93" s="71" t="n">
        <f aca="false">(N46+CashFlow!N$35+CashFlow!N$36)*CashFlow!N$5+CashFlow!N$6*(1-SaleCost)*O46/$B93</f>
        <v>0</v>
      </c>
      <c r="O93" s="106" t="n">
        <f aca="false">IFERROR(IRR(C93:N93),IFERROR(IRR(C93:N93,-0.15),IFERROR(IRR(C93:N93,-0.3),"n/m")))</f>
        <v>0.0897011810957914</v>
      </c>
    </row>
    <row r="94" customFormat="false" ht="15" hidden="false" customHeight="false" outlineLevel="0" collapsed="false">
      <c r="A94" s="48" t="str">
        <f aca="false">"Growth "&amp;TEXT($B$48,"+0.0%;-0.0%;0.0%")&amp;" / exit cap "&amp;TEXT(B94,"0.00%")</f>
        <v>Growth +1.0% / exit cap 6.00%</v>
      </c>
      <c r="B94" s="104" t="n">
        <f aca="false">ExitCap+(0-2)*StepCap</f>
        <v>0.06</v>
      </c>
      <c r="C94" s="105" t="n">
        <f aca="false">CashFlow!$C$46</f>
        <v>-5582500</v>
      </c>
      <c r="D94" s="71" t="n">
        <f aca="false">(D60+CashFlow!D$35+CashFlow!D$36)*CashFlow!D$5+CashFlow!D$6*(1-SaleCost)*E60/$B94</f>
        <v>315315</v>
      </c>
      <c r="E94" s="71" t="n">
        <f aca="false">(E60+CashFlow!E$35+CashFlow!E$36)*CashFlow!E$5+CashFlow!E$6*(1-SaleCost)*F60/$B94</f>
        <v>411853.6</v>
      </c>
      <c r="F94" s="71" t="n">
        <f aca="false">(F60+CashFlow!F$35+CashFlow!F$36)*CashFlow!F$5+CashFlow!F$6*(1-SaleCost)*G60/$B94</f>
        <v>465042.216</v>
      </c>
      <c r="G94" s="71" t="n">
        <f aca="false">(G60+CashFlow!G$35+CashFlow!G$36)*CashFlow!G$5+CashFlow!G$6*(1-SaleCost)*H60/$B94</f>
        <v>482145.91384</v>
      </c>
      <c r="H94" s="71" t="n">
        <f aca="false">(H60+CashFlow!H$35+CashFlow!H$36)*CashFlow!H$5+CashFlow!H$6*(1-SaleCost)*I60/$B94</f>
        <v>499888.8198696</v>
      </c>
      <c r="I94" s="71" t="n">
        <f aca="false">(I60+CashFlow!I$35+CashFlow!I$36)*CashFlow!I$5+CashFlow!I$6*(1-SaleCost)*J60/$B94</f>
        <v>492524.491552975</v>
      </c>
      <c r="J94" s="71" t="n">
        <f aca="false">(J60+CashFlow!J$35+CashFlow!J$36)*CashFlow!J$5+CashFlow!J$6*(1-SaleCost)*K60/$B94</f>
        <v>9165219.26189492</v>
      </c>
      <c r="K94" s="71" t="n">
        <f aca="false">(K60+CashFlow!K$35+CashFlow!K$36)*CashFlow!K$5+CashFlow!K$6*(1-SaleCost)*L60/$B94</f>
        <v>0</v>
      </c>
      <c r="L94" s="71" t="n">
        <f aca="false">(L60+CashFlow!L$35+CashFlow!L$36)*CashFlow!L$5+CashFlow!L$6*(1-SaleCost)*M60/$B94</f>
        <v>0</v>
      </c>
      <c r="M94" s="71" t="n">
        <f aca="false">(M60+CashFlow!M$35+CashFlow!M$36)*CashFlow!M$5+CashFlow!M$6*(1-SaleCost)*N60/$B94</f>
        <v>0</v>
      </c>
      <c r="N94" s="71" t="n">
        <f aca="false">(N60+CashFlow!N$35+CashFlow!N$36)*CashFlow!N$5+CashFlow!N$6*(1-SaleCost)*O60/$B94</f>
        <v>0</v>
      </c>
      <c r="O94" s="106" t="n">
        <f aca="false">IFERROR(IRR(C94:N94),IFERROR(IRR(C94:N94,-0.15),IFERROR(IRR(C94:N94,-0.3),"n/m")))</f>
        <v>0.131396784979492</v>
      </c>
    </row>
    <row r="95" customFormat="false" ht="15" hidden="false" customHeight="false" outlineLevel="0" collapsed="false">
      <c r="A95" s="48" t="str">
        <f aca="false">"Growth "&amp;TEXT($B$48,"+0.0%;-0.0%;0.0%")&amp;" / exit cap "&amp;TEXT(B95,"0.00%")</f>
        <v>Growth +1.0% / exit cap 6.50%</v>
      </c>
      <c r="B95" s="104" t="n">
        <f aca="false">ExitCap+(1-2)*StepCap</f>
        <v>0.065</v>
      </c>
      <c r="C95" s="105" t="n">
        <f aca="false">CashFlow!$C$46</f>
        <v>-5582500</v>
      </c>
      <c r="D95" s="71" t="n">
        <f aca="false">(D60+CashFlow!D$35+CashFlow!D$36)*CashFlow!D$5+CashFlow!D$6*(1-SaleCost)*E60/$B95</f>
        <v>315315</v>
      </c>
      <c r="E95" s="71" t="n">
        <f aca="false">(E60+CashFlow!E$35+CashFlow!E$36)*CashFlow!E$5+CashFlow!E$6*(1-SaleCost)*F60/$B95</f>
        <v>411853.6</v>
      </c>
      <c r="F95" s="71" t="n">
        <f aca="false">(F60+CashFlow!F$35+CashFlow!F$36)*CashFlow!F$5+CashFlow!F$6*(1-SaleCost)*G60/$B95</f>
        <v>465042.216</v>
      </c>
      <c r="G95" s="71" t="n">
        <f aca="false">(G60+CashFlow!G$35+CashFlow!G$36)*CashFlow!G$5+CashFlow!G$6*(1-SaleCost)*H60/$B95</f>
        <v>482145.91384</v>
      </c>
      <c r="H95" s="71" t="n">
        <f aca="false">(H60+CashFlow!H$35+CashFlow!H$36)*CashFlow!H$5+CashFlow!H$6*(1-SaleCost)*I60/$B95</f>
        <v>499888.8198696</v>
      </c>
      <c r="I95" s="71" t="n">
        <f aca="false">(I60+CashFlow!I$35+CashFlow!I$36)*CashFlow!I$5+CashFlow!I$6*(1-SaleCost)*J60/$B95</f>
        <v>492524.491552975</v>
      </c>
      <c r="J95" s="71" t="n">
        <f aca="false">(J60+CashFlow!J$35+CashFlow!J$36)*CashFlow!J$5+CashFlow!J$6*(1-SaleCost)*K60/$B95</f>
        <v>8499498.26350677</v>
      </c>
      <c r="K95" s="71" t="n">
        <f aca="false">(K60+CashFlow!K$35+CashFlow!K$36)*CashFlow!K$5+CashFlow!K$6*(1-SaleCost)*L60/$B95</f>
        <v>0</v>
      </c>
      <c r="L95" s="71" t="n">
        <f aca="false">(L60+CashFlow!L$35+CashFlow!L$36)*CashFlow!L$5+CashFlow!L$6*(1-SaleCost)*M60/$B95</f>
        <v>0</v>
      </c>
      <c r="M95" s="71" t="n">
        <f aca="false">(M60+CashFlow!M$35+CashFlow!M$36)*CashFlow!M$5+CashFlow!M$6*(1-SaleCost)*N60/$B95</f>
        <v>0</v>
      </c>
      <c r="N95" s="71" t="n">
        <f aca="false">(N60+CashFlow!N$35+CashFlow!N$36)*CashFlow!N$5+CashFlow!N$6*(1-SaleCost)*O60/$B95</f>
        <v>0</v>
      </c>
      <c r="O95" s="106" t="n">
        <f aca="false">IFERROR(IRR(C95:N95),IFERROR(IRR(C95:N95,-0.15),IFERROR(IRR(C95:N95,-0.3),"n/m")))</f>
        <v>0.121456872034781</v>
      </c>
    </row>
    <row r="96" customFormat="false" ht="15" hidden="false" customHeight="false" outlineLevel="0" collapsed="false">
      <c r="A96" s="48" t="str">
        <f aca="false">"Growth "&amp;TEXT($B$48,"+0.0%;-0.0%;0.0%")&amp;" / exit cap "&amp;TEXT(B96,"0.00%")</f>
        <v>Growth +1.0% / exit cap 7.00%</v>
      </c>
      <c r="B96" s="104" t="n">
        <f aca="false">ExitCap+(2-2)*StepCap</f>
        <v>0.07</v>
      </c>
      <c r="C96" s="105" t="n">
        <f aca="false">CashFlow!$C$46</f>
        <v>-5582500</v>
      </c>
      <c r="D96" s="71" t="n">
        <f aca="false">(D60+CashFlow!D$35+CashFlow!D$36)*CashFlow!D$5+CashFlow!D$6*(1-SaleCost)*E60/$B96</f>
        <v>315315</v>
      </c>
      <c r="E96" s="71" t="n">
        <f aca="false">(E60+CashFlow!E$35+CashFlow!E$36)*CashFlow!E$5+CashFlow!E$6*(1-SaleCost)*F60/$B96</f>
        <v>411853.6</v>
      </c>
      <c r="F96" s="71" t="n">
        <f aca="false">(F60+CashFlow!F$35+CashFlow!F$36)*CashFlow!F$5+CashFlow!F$6*(1-SaleCost)*G60/$B96</f>
        <v>465042.216</v>
      </c>
      <c r="G96" s="71" t="n">
        <f aca="false">(G60+CashFlow!G$35+CashFlow!G$36)*CashFlow!G$5+CashFlow!G$6*(1-SaleCost)*H60/$B96</f>
        <v>482145.91384</v>
      </c>
      <c r="H96" s="71" t="n">
        <f aca="false">(H60+CashFlow!H$35+CashFlow!H$36)*CashFlow!H$5+CashFlow!H$6*(1-SaleCost)*I60/$B96</f>
        <v>499888.8198696</v>
      </c>
      <c r="I96" s="71" t="n">
        <f aca="false">(I60+CashFlow!I$35+CashFlow!I$36)*CashFlow!I$5+CashFlow!I$6*(1-SaleCost)*J60/$B96</f>
        <v>492524.491552975</v>
      </c>
      <c r="J96" s="71" t="n">
        <f aca="false">(J60+CashFlow!J$35+CashFlow!J$36)*CashFlow!J$5+CashFlow!J$6*(1-SaleCost)*K60/$B96</f>
        <v>7928880.26488835</v>
      </c>
      <c r="K96" s="71" t="n">
        <f aca="false">(K60+CashFlow!K$35+CashFlow!K$36)*CashFlow!K$5+CashFlow!K$6*(1-SaleCost)*L60/$B96</f>
        <v>0</v>
      </c>
      <c r="L96" s="71" t="n">
        <f aca="false">(L60+CashFlow!L$35+CashFlow!L$36)*CashFlow!L$5+CashFlow!L$6*(1-SaleCost)*M60/$B96</f>
        <v>0</v>
      </c>
      <c r="M96" s="71" t="n">
        <f aca="false">(M60+CashFlow!M$35+CashFlow!M$36)*CashFlow!M$5+CashFlow!M$6*(1-SaleCost)*N60/$B96</f>
        <v>0</v>
      </c>
      <c r="N96" s="71" t="n">
        <f aca="false">(N60+CashFlow!N$35+CashFlow!N$36)*CashFlow!N$5+CashFlow!N$6*(1-SaleCost)*O60/$B96</f>
        <v>0</v>
      </c>
      <c r="O96" s="106" t="n">
        <f aca="false">IFERROR(IRR(C96:N96),IFERROR(IRR(C96:N96,-0.15),IFERROR(IRR(C96:N96,-0.3),"n/m")))</f>
        <v>0.112454927288388</v>
      </c>
    </row>
    <row r="97" customFormat="false" ht="15" hidden="false" customHeight="false" outlineLevel="0" collapsed="false">
      <c r="A97" s="48" t="str">
        <f aca="false">"Growth "&amp;TEXT($B$48,"+0.0%;-0.0%;0.0%")&amp;" / exit cap "&amp;TEXT(B97,"0.00%")</f>
        <v>Growth +1.0% / exit cap 7.50%</v>
      </c>
      <c r="B97" s="104" t="n">
        <f aca="false">ExitCap+(3-2)*StepCap</f>
        <v>0.075</v>
      </c>
      <c r="C97" s="105" t="n">
        <f aca="false">CashFlow!$C$46</f>
        <v>-5582500</v>
      </c>
      <c r="D97" s="71" t="n">
        <f aca="false">(D60+CashFlow!D$35+CashFlow!D$36)*CashFlow!D$5+CashFlow!D$6*(1-SaleCost)*E60/$B97</f>
        <v>315315</v>
      </c>
      <c r="E97" s="71" t="n">
        <f aca="false">(E60+CashFlow!E$35+CashFlow!E$36)*CashFlow!E$5+CashFlow!E$6*(1-SaleCost)*F60/$B97</f>
        <v>411853.6</v>
      </c>
      <c r="F97" s="71" t="n">
        <f aca="false">(F60+CashFlow!F$35+CashFlow!F$36)*CashFlow!F$5+CashFlow!F$6*(1-SaleCost)*G60/$B97</f>
        <v>465042.216</v>
      </c>
      <c r="G97" s="71" t="n">
        <f aca="false">(G60+CashFlow!G$35+CashFlow!G$36)*CashFlow!G$5+CashFlow!G$6*(1-SaleCost)*H60/$B97</f>
        <v>482145.91384</v>
      </c>
      <c r="H97" s="71" t="n">
        <f aca="false">(H60+CashFlow!H$35+CashFlow!H$36)*CashFlow!H$5+CashFlow!H$6*(1-SaleCost)*I60/$B97</f>
        <v>499888.8198696</v>
      </c>
      <c r="I97" s="71" t="n">
        <f aca="false">(I60+CashFlow!I$35+CashFlow!I$36)*CashFlow!I$5+CashFlow!I$6*(1-SaleCost)*J60/$B97</f>
        <v>492524.491552975</v>
      </c>
      <c r="J97" s="71" t="n">
        <f aca="false">(J60+CashFlow!J$35+CashFlow!J$36)*CashFlow!J$5+CashFlow!J$6*(1-SaleCost)*K60/$B97</f>
        <v>7434344.66608572</v>
      </c>
      <c r="K97" s="71" t="n">
        <f aca="false">(K60+CashFlow!K$35+CashFlow!K$36)*CashFlow!K$5+CashFlow!K$6*(1-SaleCost)*L60/$B97</f>
        <v>0</v>
      </c>
      <c r="L97" s="71" t="n">
        <f aca="false">(L60+CashFlow!L$35+CashFlow!L$36)*CashFlow!L$5+CashFlow!L$6*(1-SaleCost)*M60/$B97</f>
        <v>0</v>
      </c>
      <c r="M97" s="71" t="n">
        <f aca="false">(M60+CashFlow!M$35+CashFlow!M$36)*CashFlow!M$5+CashFlow!M$6*(1-SaleCost)*N60/$B97</f>
        <v>0</v>
      </c>
      <c r="N97" s="71" t="n">
        <f aca="false">(N60+CashFlow!N$35+CashFlow!N$36)*CashFlow!N$5+CashFlow!N$6*(1-SaleCost)*O60/$B97</f>
        <v>0</v>
      </c>
      <c r="O97" s="106" t="n">
        <f aca="false">IFERROR(IRR(C97:N97),IFERROR(IRR(C97:N97,-0.15),IFERROR(IRR(C97:N97,-0.3),"n/m")))</f>
        <v>0.104248903271512</v>
      </c>
    </row>
    <row r="98" customFormat="false" ht="15" hidden="false" customHeight="false" outlineLevel="0" collapsed="false">
      <c r="A98" s="48" t="str">
        <f aca="false">"Growth "&amp;TEXT($B$48,"+0.0%;-0.0%;0.0%")&amp;" / exit cap "&amp;TEXT(B98,"0.00%")</f>
        <v>Growth +1.0% / exit cap 8.00%</v>
      </c>
      <c r="B98" s="104" t="n">
        <f aca="false">ExitCap+(4-2)*StepCap</f>
        <v>0.08</v>
      </c>
      <c r="C98" s="105" t="n">
        <f aca="false">CashFlow!$C$46</f>
        <v>-5582500</v>
      </c>
      <c r="D98" s="71" t="n">
        <f aca="false">(D60+CashFlow!D$35+CashFlow!D$36)*CashFlow!D$5+CashFlow!D$6*(1-SaleCost)*E60/$B98</f>
        <v>315315</v>
      </c>
      <c r="E98" s="71" t="n">
        <f aca="false">(E60+CashFlow!E$35+CashFlow!E$36)*CashFlow!E$5+CashFlow!E$6*(1-SaleCost)*F60/$B98</f>
        <v>411853.6</v>
      </c>
      <c r="F98" s="71" t="n">
        <f aca="false">(F60+CashFlow!F$35+CashFlow!F$36)*CashFlow!F$5+CashFlow!F$6*(1-SaleCost)*G60/$B98</f>
        <v>465042.216</v>
      </c>
      <c r="G98" s="71" t="n">
        <f aca="false">(G60+CashFlow!G$35+CashFlow!G$36)*CashFlow!G$5+CashFlow!G$6*(1-SaleCost)*H60/$B98</f>
        <v>482145.91384</v>
      </c>
      <c r="H98" s="71" t="n">
        <f aca="false">(H60+CashFlow!H$35+CashFlow!H$36)*CashFlow!H$5+CashFlow!H$6*(1-SaleCost)*I60/$B98</f>
        <v>499888.8198696</v>
      </c>
      <c r="I98" s="71" t="n">
        <f aca="false">(I60+CashFlow!I$35+CashFlow!I$36)*CashFlow!I$5+CashFlow!I$6*(1-SaleCost)*J60/$B98</f>
        <v>492524.491552975</v>
      </c>
      <c r="J98" s="71" t="n">
        <f aca="false">(J60+CashFlow!J$35+CashFlow!J$36)*CashFlow!J$5+CashFlow!J$6*(1-SaleCost)*K60/$B98</f>
        <v>7001626.01713342</v>
      </c>
      <c r="K98" s="71" t="n">
        <f aca="false">(K60+CashFlow!K$35+CashFlow!K$36)*CashFlow!K$5+CashFlow!K$6*(1-SaleCost)*L60/$B98</f>
        <v>0</v>
      </c>
      <c r="L98" s="71" t="n">
        <f aca="false">(L60+CashFlow!L$35+CashFlow!L$36)*CashFlow!L$5+CashFlow!L$6*(1-SaleCost)*M60/$B98</f>
        <v>0</v>
      </c>
      <c r="M98" s="71" t="n">
        <f aca="false">(M60+CashFlow!M$35+CashFlow!M$36)*CashFlow!M$5+CashFlow!M$6*(1-SaleCost)*N60/$B98</f>
        <v>0</v>
      </c>
      <c r="N98" s="71" t="n">
        <f aca="false">(N60+CashFlow!N$35+CashFlow!N$36)*CashFlow!N$5+CashFlow!N$6*(1-SaleCost)*O60/$B98</f>
        <v>0</v>
      </c>
      <c r="O98" s="106" t="n">
        <f aca="false">IFERROR(IRR(C98:N98),IFERROR(IRR(C98:N98,-0.15),IFERROR(IRR(C98:N98,-0.3),"n/m")))</f>
        <v>0.0967257906114167</v>
      </c>
    </row>
    <row r="99" customFormat="false" ht="15" hidden="false" customHeight="false" outlineLevel="0" collapsed="false">
      <c r="A99" s="48" t="str">
        <f aca="false">"Growth "&amp;TEXT($B$62,"+0.0%;-0.0%;0.0%")&amp;" / exit cap "&amp;TEXT(B99,"0.00%")</f>
        <v>Growth +2.0% / exit cap 6.00%</v>
      </c>
      <c r="B99" s="104" t="n">
        <f aca="false">ExitCap+(0-2)*StepCap</f>
        <v>0.06</v>
      </c>
      <c r="C99" s="105" t="n">
        <f aca="false">CashFlow!$C$46</f>
        <v>-5582500</v>
      </c>
      <c r="D99" s="71" t="n">
        <f aca="false">(D74+CashFlow!D$35+CashFlow!D$36)*CashFlow!D$5+CashFlow!D$6*(1-SaleCost)*E74/$B99</f>
        <v>315315</v>
      </c>
      <c r="E99" s="71" t="n">
        <f aca="false">(E74+CashFlow!E$35+CashFlow!E$36)*CashFlow!E$5+CashFlow!E$6*(1-SaleCost)*F74/$B99</f>
        <v>414848</v>
      </c>
      <c r="F99" s="71" t="n">
        <f aca="false">(F74+CashFlow!F$35+CashFlow!F$36)*CashFlow!F$5+CashFlow!F$6*(1-SaleCost)*G74/$B99</f>
        <v>471133.73</v>
      </c>
      <c r="G99" s="71" t="n">
        <f aca="false">(G74+CashFlow!G$35+CashFlow!G$36)*CashFlow!G$5+CashFlow!G$6*(1-SaleCost)*H74/$B99</f>
        <v>491694.4349</v>
      </c>
      <c r="H99" s="71" t="n">
        <f aca="false">(H74+CashFlow!H$35+CashFlow!H$36)*CashFlow!H$5+CashFlow!H$6*(1-SaleCost)*I74/$B99</f>
        <v>513193.295597</v>
      </c>
      <c r="I99" s="71" t="n">
        <f aca="false">(I74+CashFlow!I$35+CashFlow!I$36)*CashFlow!I$5+CashFlow!I$6*(1-SaleCost)*J74/$B99</f>
        <v>509903.860825721</v>
      </c>
      <c r="J99" s="71" t="n">
        <f aca="false">(J74+CashFlow!J$35+CashFlow!J$36)*CashFlow!J$5+CashFlow!J$6*(1-SaleCost)*K74/$B99</f>
        <v>9621023.19876541</v>
      </c>
      <c r="K99" s="71" t="n">
        <f aca="false">(K74+CashFlow!K$35+CashFlow!K$36)*CashFlow!K$5+CashFlow!K$6*(1-SaleCost)*L74/$B99</f>
        <v>0</v>
      </c>
      <c r="L99" s="71" t="n">
        <f aca="false">(L74+CashFlow!L$35+CashFlow!L$36)*CashFlow!L$5+CashFlow!L$6*(1-SaleCost)*M74/$B99</f>
        <v>0</v>
      </c>
      <c r="M99" s="71" t="n">
        <f aca="false">(M74+CashFlow!M$35+CashFlow!M$36)*CashFlow!M$5+CashFlow!M$6*(1-SaleCost)*N74/$B99</f>
        <v>0</v>
      </c>
      <c r="N99" s="71" t="n">
        <f aca="false">(N74+CashFlow!N$35+CashFlow!N$36)*CashFlow!N$5+CashFlow!N$6*(1-SaleCost)*O74/$B99</f>
        <v>0</v>
      </c>
      <c r="O99" s="106" t="n">
        <f aca="false">IFERROR(IRR(C99:N99),IFERROR(IRR(C99:N99,-0.15),IFERROR(IRR(C99:N99,-0.3),"n/m")))</f>
        <v>0.138824953408794</v>
      </c>
    </row>
    <row r="100" customFormat="false" ht="15" hidden="false" customHeight="false" outlineLevel="0" collapsed="false">
      <c r="A100" s="48" t="str">
        <f aca="false">"Growth "&amp;TEXT($B$62,"+0.0%;-0.0%;0.0%")&amp;" / exit cap "&amp;TEXT(B100,"0.00%")</f>
        <v>Growth +2.0% / exit cap 6.50%</v>
      </c>
      <c r="B100" s="104" t="n">
        <f aca="false">ExitCap+(1-2)*StepCap</f>
        <v>0.065</v>
      </c>
      <c r="C100" s="105" t="n">
        <f aca="false">CashFlow!$C$46</f>
        <v>-5582500</v>
      </c>
      <c r="D100" s="71" t="n">
        <f aca="false">(D74+CashFlow!D$35+CashFlow!D$36)*CashFlow!D$5+CashFlow!D$6*(1-SaleCost)*E74/$B100</f>
        <v>315315</v>
      </c>
      <c r="E100" s="71" t="n">
        <f aca="false">(E74+CashFlow!E$35+CashFlow!E$36)*CashFlow!E$5+CashFlow!E$6*(1-SaleCost)*F74/$B100</f>
        <v>414848</v>
      </c>
      <c r="F100" s="71" t="n">
        <f aca="false">(F74+CashFlow!F$35+CashFlow!F$36)*CashFlow!F$5+CashFlow!F$6*(1-SaleCost)*G74/$B100</f>
        <v>471133.73</v>
      </c>
      <c r="G100" s="71" t="n">
        <f aca="false">(G74+CashFlow!G$35+CashFlow!G$36)*CashFlow!G$5+CashFlow!G$6*(1-SaleCost)*H74/$B100</f>
        <v>491694.4349</v>
      </c>
      <c r="H100" s="71" t="n">
        <f aca="false">(H74+CashFlow!H$35+CashFlow!H$36)*CashFlow!H$5+CashFlow!H$6*(1-SaleCost)*I74/$B100</f>
        <v>513193.295597</v>
      </c>
      <c r="I100" s="71" t="n">
        <f aca="false">(I74+CashFlow!I$35+CashFlow!I$36)*CashFlow!I$5+CashFlow!I$6*(1-SaleCost)*J74/$B100</f>
        <v>509903.860825721</v>
      </c>
      <c r="J100" s="71" t="n">
        <f aca="false">(J74+CashFlow!J$35+CashFlow!J$36)*CashFlow!J$5+CashFlow!J$6*(1-SaleCost)*K74/$B100</f>
        <v>8921916.85094766</v>
      </c>
      <c r="K100" s="71" t="n">
        <f aca="false">(K74+CashFlow!K$35+CashFlow!K$36)*CashFlow!K$5+CashFlow!K$6*(1-SaleCost)*L74/$B100</f>
        <v>0</v>
      </c>
      <c r="L100" s="71" t="n">
        <f aca="false">(L74+CashFlow!L$35+CashFlow!L$36)*CashFlow!L$5+CashFlow!L$6*(1-SaleCost)*M74/$B100</f>
        <v>0</v>
      </c>
      <c r="M100" s="71" t="n">
        <f aca="false">(M74+CashFlow!M$35+CashFlow!M$36)*CashFlow!M$5+CashFlow!M$6*(1-SaleCost)*N74/$B100</f>
        <v>0</v>
      </c>
      <c r="N100" s="71" t="n">
        <f aca="false">(N74+CashFlow!N$35+CashFlow!N$36)*CashFlow!N$5+CashFlow!N$6*(1-SaleCost)*O74/$B100</f>
        <v>0</v>
      </c>
      <c r="O100" s="106" t="n">
        <f aca="false">IFERROR(IRR(C100:N100),IFERROR(IRR(C100:N100,-0.15),IFERROR(IRR(C100:N100,-0.3),"n/m")))</f>
        <v>0.128799995733248</v>
      </c>
    </row>
    <row r="101" customFormat="false" ht="15" hidden="false" customHeight="false" outlineLevel="0" collapsed="false">
      <c r="A101" s="48" t="str">
        <f aca="false">"Growth "&amp;TEXT($B$62,"+0.0%;-0.0%;0.0%")&amp;" / exit cap "&amp;TEXT(B101,"0.00%")</f>
        <v>Growth +2.0% / exit cap 7.00%</v>
      </c>
      <c r="B101" s="104" t="n">
        <f aca="false">ExitCap+(2-2)*StepCap</f>
        <v>0.07</v>
      </c>
      <c r="C101" s="105" t="n">
        <f aca="false">CashFlow!$C$46</f>
        <v>-5582500</v>
      </c>
      <c r="D101" s="71" t="n">
        <f aca="false">(D74+CashFlow!D$35+CashFlow!D$36)*CashFlow!D$5+CashFlow!D$6*(1-SaleCost)*E74/$B101</f>
        <v>315315</v>
      </c>
      <c r="E101" s="71" t="n">
        <f aca="false">(E74+CashFlow!E$35+CashFlow!E$36)*CashFlow!E$5+CashFlow!E$6*(1-SaleCost)*F74/$B101</f>
        <v>414848</v>
      </c>
      <c r="F101" s="71" t="n">
        <f aca="false">(F74+CashFlow!F$35+CashFlow!F$36)*CashFlow!F$5+CashFlow!F$6*(1-SaleCost)*G74/$B101</f>
        <v>471133.73</v>
      </c>
      <c r="G101" s="71" t="n">
        <f aca="false">(G74+CashFlow!G$35+CashFlow!G$36)*CashFlow!G$5+CashFlow!G$6*(1-SaleCost)*H74/$B101</f>
        <v>491694.4349</v>
      </c>
      <c r="H101" s="71" t="n">
        <f aca="false">(H74+CashFlow!H$35+CashFlow!H$36)*CashFlow!H$5+CashFlow!H$6*(1-SaleCost)*I74/$B101</f>
        <v>513193.295597</v>
      </c>
      <c r="I101" s="71" t="n">
        <f aca="false">(I74+CashFlow!I$35+CashFlow!I$36)*CashFlow!I$5+CashFlow!I$6*(1-SaleCost)*J74/$B101</f>
        <v>509903.860825721</v>
      </c>
      <c r="J101" s="71" t="n">
        <f aca="false">(J74+CashFlow!J$35+CashFlow!J$36)*CashFlow!J$5+CashFlow!J$6*(1-SaleCost)*K74/$B101</f>
        <v>8322682.83853244</v>
      </c>
      <c r="K101" s="71" t="n">
        <f aca="false">(K74+CashFlow!K$35+CashFlow!K$36)*CashFlow!K$5+CashFlow!K$6*(1-SaleCost)*L74/$B101</f>
        <v>0</v>
      </c>
      <c r="L101" s="71" t="n">
        <f aca="false">(L74+CashFlow!L$35+CashFlow!L$36)*CashFlow!L$5+CashFlow!L$6*(1-SaleCost)*M74/$B101</f>
        <v>0</v>
      </c>
      <c r="M101" s="71" t="n">
        <f aca="false">(M74+CashFlow!M$35+CashFlow!M$36)*CashFlow!M$5+CashFlow!M$6*(1-SaleCost)*N74/$B101</f>
        <v>0</v>
      </c>
      <c r="N101" s="71" t="n">
        <f aca="false">(N74+CashFlow!N$35+CashFlow!N$36)*CashFlow!N$5+CashFlow!N$6*(1-SaleCost)*O74/$B101</f>
        <v>0</v>
      </c>
      <c r="O101" s="106" t="n">
        <f aca="false">IFERROR(IRR(C101:N101),IFERROR(IRR(C101:N101,-0.15),IFERROR(IRR(C101:N101,-0.3),"n/m")))</f>
        <v>0.119720307585753</v>
      </c>
    </row>
    <row r="102" customFormat="false" ht="15" hidden="false" customHeight="false" outlineLevel="0" collapsed="false">
      <c r="A102" s="48" t="str">
        <f aca="false">"Growth "&amp;TEXT($B$62,"+0.0%;-0.0%;0.0%")&amp;" / exit cap "&amp;TEXT(B102,"0.00%")</f>
        <v>Growth +2.0% / exit cap 7.50%</v>
      </c>
      <c r="B102" s="104" t="n">
        <f aca="false">ExitCap+(3-2)*StepCap</f>
        <v>0.075</v>
      </c>
      <c r="C102" s="105" t="n">
        <f aca="false">CashFlow!$C$46</f>
        <v>-5582500</v>
      </c>
      <c r="D102" s="71" t="n">
        <f aca="false">(D74+CashFlow!D$35+CashFlow!D$36)*CashFlow!D$5+CashFlow!D$6*(1-SaleCost)*E74/$B102</f>
        <v>315315</v>
      </c>
      <c r="E102" s="71" t="n">
        <f aca="false">(E74+CashFlow!E$35+CashFlow!E$36)*CashFlow!E$5+CashFlow!E$6*(1-SaleCost)*F74/$B102</f>
        <v>414848</v>
      </c>
      <c r="F102" s="71" t="n">
        <f aca="false">(F74+CashFlow!F$35+CashFlow!F$36)*CashFlow!F$5+CashFlow!F$6*(1-SaleCost)*G74/$B102</f>
        <v>471133.73</v>
      </c>
      <c r="G102" s="71" t="n">
        <f aca="false">(G74+CashFlow!G$35+CashFlow!G$36)*CashFlow!G$5+CashFlow!G$6*(1-SaleCost)*H74/$B102</f>
        <v>491694.4349</v>
      </c>
      <c r="H102" s="71" t="n">
        <f aca="false">(H74+CashFlow!H$35+CashFlow!H$36)*CashFlow!H$5+CashFlow!H$6*(1-SaleCost)*I74/$B102</f>
        <v>513193.295597</v>
      </c>
      <c r="I102" s="71" t="n">
        <f aca="false">(I74+CashFlow!I$35+CashFlow!I$36)*CashFlow!I$5+CashFlow!I$6*(1-SaleCost)*J74/$B102</f>
        <v>509903.860825721</v>
      </c>
      <c r="J102" s="71" t="n">
        <f aca="false">(J74+CashFlow!J$35+CashFlow!J$36)*CashFlow!J$5+CashFlow!J$6*(1-SaleCost)*K74/$B102</f>
        <v>7803346.69443926</v>
      </c>
      <c r="K102" s="71" t="n">
        <f aca="false">(K74+CashFlow!K$35+CashFlow!K$36)*CashFlow!K$5+CashFlow!K$6*(1-SaleCost)*L74/$B102</f>
        <v>0</v>
      </c>
      <c r="L102" s="71" t="n">
        <f aca="false">(L74+CashFlow!L$35+CashFlow!L$36)*CashFlow!L$5+CashFlow!L$6*(1-SaleCost)*M74/$B102</f>
        <v>0</v>
      </c>
      <c r="M102" s="71" t="n">
        <f aca="false">(M74+CashFlow!M$35+CashFlow!M$36)*CashFlow!M$5+CashFlow!M$6*(1-SaleCost)*N74/$B102</f>
        <v>0</v>
      </c>
      <c r="N102" s="71" t="n">
        <f aca="false">(N74+CashFlow!N$35+CashFlow!N$36)*CashFlow!N$5+CashFlow!N$6*(1-SaleCost)*O74/$B102</f>
        <v>0</v>
      </c>
      <c r="O102" s="106" t="n">
        <f aca="false">IFERROR(IRR(C102:N102),IFERROR(IRR(C102:N102,-0.15),IFERROR(IRR(C102:N102,-0.3),"n/m")))</f>
        <v>0.111442774114916</v>
      </c>
    </row>
    <row r="103" customFormat="false" ht="15" hidden="false" customHeight="false" outlineLevel="0" collapsed="false">
      <c r="A103" s="48" t="str">
        <f aca="false">"Growth "&amp;TEXT($B$62,"+0.0%;-0.0%;0.0%")&amp;" / exit cap "&amp;TEXT(B103,"0.00%")</f>
        <v>Growth +2.0% / exit cap 8.00%</v>
      </c>
      <c r="B103" s="104" t="n">
        <f aca="false">ExitCap+(4-2)*StepCap</f>
        <v>0.08</v>
      </c>
      <c r="C103" s="105" t="n">
        <f aca="false">CashFlow!$C$46</f>
        <v>-5582500</v>
      </c>
      <c r="D103" s="71" t="n">
        <f aca="false">(D74+CashFlow!D$35+CashFlow!D$36)*CashFlow!D$5+CashFlow!D$6*(1-SaleCost)*E74/$B103</f>
        <v>315315</v>
      </c>
      <c r="E103" s="71" t="n">
        <f aca="false">(E74+CashFlow!E$35+CashFlow!E$36)*CashFlow!E$5+CashFlow!E$6*(1-SaleCost)*F74/$B103</f>
        <v>414848</v>
      </c>
      <c r="F103" s="71" t="n">
        <f aca="false">(F74+CashFlow!F$35+CashFlow!F$36)*CashFlow!F$5+CashFlow!F$6*(1-SaleCost)*G74/$B103</f>
        <v>471133.73</v>
      </c>
      <c r="G103" s="71" t="n">
        <f aca="false">(G74+CashFlow!G$35+CashFlow!G$36)*CashFlow!G$5+CashFlow!G$6*(1-SaleCost)*H74/$B103</f>
        <v>491694.4349</v>
      </c>
      <c r="H103" s="71" t="n">
        <f aca="false">(H74+CashFlow!H$35+CashFlow!H$36)*CashFlow!H$5+CashFlow!H$6*(1-SaleCost)*I74/$B103</f>
        <v>513193.295597</v>
      </c>
      <c r="I103" s="71" t="n">
        <f aca="false">(I74+CashFlow!I$35+CashFlow!I$36)*CashFlow!I$5+CashFlow!I$6*(1-SaleCost)*J74/$B103</f>
        <v>509903.860825721</v>
      </c>
      <c r="J103" s="71" t="n">
        <f aca="false">(J74+CashFlow!J$35+CashFlow!J$36)*CashFlow!J$5+CashFlow!J$6*(1-SaleCost)*K74/$B103</f>
        <v>7348927.56835772</v>
      </c>
      <c r="K103" s="71" t="n">
        <f aca="false">(K74+CashFlow!K$35+CashFlow!K$36)*CashFlow!K$5+CashFlow!K$6*(1-SaleCost)*L74/$B103</f>
        <v>0</v>
      </c>
      <c r="L103" s="71" t="n">
        <f aca="false">(L74+CashFlow!L$35+CashFlow!L$36)*CashFlow!L$5+CashFlow!L$6*(1-SaleCost)*M74/$B103</f>
        <v>0</v>
      </c>
      <c r="M103" s="71" t="n">
        <f aca="false">(M74+CashFlow!M$35+CashFlow!M$36)*CashFlow!M$5+CashFlow!M$6*(1-SaleCost)*N74/$B103</f>
        <v>0</v>
      </c>
      <c r="N103" s="71" t="n">
        <f aca="false">(N74+CashFlow!N$35+CashFlow!N$36)*CashFlow!N$5+CashFlow!N$6*(1-SaleCost)*O74/$B103</f>
        <v>0</v>
      </c>
      <c r="O103" s="106" t="n">
        <f aca="false">IFERROR(IRR(C103:N103),IFERROR(IRR(C103:N103,-0.15),IFERROR(IRR(C103:N103,-0.3),"n/m")))</f>
        <v>0.103853533477782</v>
      </c>
    </row>
    <row r="105" customFormat="false" ht="15" hidden="false" customHeight="false" outlineLevel="0" collapsed="false">
      <c r="A105" s="57" t="s">
        <v>275</v>
      </c>
      <c r="B105" s="57"/>
      <c r="C105" s="57"/>
      <c r="D105" s="57"/>
      <c r="E105" s="57"/>
      <c r="F105" s="57"/>
      <c r="G105" s="57"/>
      <c r="H105" s="57"/>
      <c r="I105" s="57"/>
      <c r="J105" s="57"/>
      <c r="K105" s="57"/>
      <c r="L105" s="57"/>
      <c r="M105" s="57"/>
      <c r="N105" s="57"/>
      <c r="O105" s="103" t="s">
        <v>274</v>
      </c>
    </row>
    <row r="106" customFormat="false" ht="15" hidden="false" customHeight="false" outlineLevel="0" collapsed="false">
      <c r="A106" s="48" t="str">
        <f aca="false">A79</f>
        <v>Growth -2.0% / exit cap 6.00%</v>
      </c>
      <c r="B106" s="104" t="n">
        <f aca="false">B79</f>
        <v>0.06</v>
      </c>
      <c r="C106" s="105" t="n">
        <f aca="false">CashFlow!$C$56</f>
        <v>-2587750</v>
      </c>
      <c r="D106" s="71" t="n">
        <f aca="false">D79+CashFlow!D$53*CashFlow!D$5+CashFlow!D$55</f>
        <v>111127.5</v>
      </c>
      <c r="E106" s="71" t="n">
        <f aca="false">E79+CashFlow!E$53*CashFlow!E$5+CashFlow!E$55</f>
        <v>198682.9</v>
      </c>
      <c r="F106" s="71" t="n">
        <f aca="false">F79+CashFlow!F$53*CashFlow!F$5+CashFlow!F$55</f>
        <v>196316.542347809</v>
      </c>
      <c r="G106" s="71" t="n">
        <f aca="false">G79+CashFlow!G$53*CashFlow!G$5+CashFlow!G$55</f>
        <v>203783.698207809</v>
      </c>
      <c r="H106" s="71" t="n">
        <f aca="false">H79+CashFlow!H$53*CashFlow!H$5+CashFlow!H$55</f>
        <v>211415.405074409</v>
      </c>
      <c r="I106" s="71" t="n">
        <f aca="false">I79+CashFlow!I$53*CashFlow!I$5+CashFlow!I$55</f>
        <v>193445.342169426</v>
      </c>
      <c r="J106" s="71" t="n">
        <f aca="false">J79+CashFlow!J$53*CashFlow!J$5+CashFlow!J$55</f>
        <v>4945729.84374405</v>
      </c>
      <c r="K106" s="71" t="n">
        <f aca="false">K79+CashFlow!K$53*CashFlow!K$5+CashFlow!K$55</f>
        <v>0</v>
      </c>
      <c r="L106" s="71" t="n">
        <f aca="false">L79+CashFlow!L$53*CashFlow!L$5+CashFlow!L$55</f>
        <v>0</v>
      </c>
      <c r="M106" s="71" t="n">
        <f aca="false">M79+CashFlow!M$53*CashFlow!M$5+CashFlow!M$55</f>
        <v>0</v>
      </c>
      <c r="N106" s="71" t="n">
        <f aca="false">N79+CashFlow!N$53*CashFlow!N$5+CashFlow!N$55</f>
        <v>0</v>
      </c>
      <c r="O106" s="106" t="n">
        <f aca="false">IFERROR(IRR(C106:N106),IFERROR(IRR(C106:N106,-0.15),IFERROR(IRR(C106:N106,-0.3),"n/m")))</f>
        <v>0.146486798833292</v>
      </c>
    </row>
    <row r="107" customFormat="false" ht="15" hidden="false" customHeight="false" outlineLevel="0" collapsed="false">
      <c r="A107" s="48" t="str">
        <f aca="false">A80</f>
        <v>Growth -2.0% / exit cap 6.50%</v>
      </c>
      <c r="B107" s="104" t="n">
        <f aca="false">B80</f>
        <v>0.065</v>
      </c>
      <c r="C107" s="105" t="n">
        <f aca="false">CashFlow!$C$56</f>
        <v>-2587750</v>
      </c>
      <c r="D107" s="71" t="n">
        <f aca="false">D80+CashFlow!D$53*CashFlow!D$5+CashFlow!D$55</f>
        <v>111127.5</v>
      </c>
      <c r="E107" s="71" t="n">
        <f aca="false">E80+CashFlow!E$53*CashFlow!E$5+CashFlow!E$55</f>
        <v>198682.9</v>
      </c>
      <c r="F107" s="71" t="n">
        <f aca="false">F80+CashFlow!F$53*CashFlow!F$5+CashFlow!F$55</f>
        <v>196316.542347809</v>
      </c>
      <c r="G107" s="71" t="n">
        <f aca="false">G80+CashFlow!G$53*CashFlow!G$5+CashFlow!G$55</f>
        <v>203783.698207809</v>
      </c>
      <c r="H107" s="71" t="n">
        <f aca="false">H80+CashFlow!H$53*CashFlow!H$5+CashFlow!H$55</f>
        <v>211415.405074409</v>
      </c>
      <c r="I107" s="71" t="n">
        <f aca="false">I80+CashFlow!I$53*CashFlow!I$5+CashFlow!I$55</f>
        <v>193445.342169426</v>
      </c>
      <c r="J107" s="71" t="n">
        <f aca="false">J80+CashFlow!J$53*CashFlow!J$5+CashFlow!J$55</f>
        <v>4369285.47166096</v>
      </c>
      <c r="K107" s="71" t="n">
        <f aca="false">K80+CashFlow!K$53*CashFlow!K$5+CashFlow!K$55</f>
        <v>0</v>
      </c>
      <c r="L107" s="71" t="n">
        <f aca="false">L80+CashFlow!L$53*CashFlow!L$5+CashFlow!L$55</f>
        <v>0</v>
      </c>
      <c r="M107" s="71" t="n">
        <f aca="false">M80+CashFlow!M$53*CashFlow!M$5+CashFlow!M$55</f>
        <v>0</v>
      </c>
      <c r="N107" s="71" t="n">
        <f aca="false">N80+CashFlow!N$53*CashFlow!N$5+CashFlow!N$55</f>
        <v>0</v>
      </c>
      <c r="O107" s="106" t="n">
        <f aca="false">IFERROR(IRR(C107:N107),IFERROR(IRR(C107:N107,-0.15),IFERROR(IRR(C107:N107,-0.3),"n/m")))</f>
        <v>0.129423786994821</v>
      </c>
    </row>
    <row r="108" customFormat="false" ht="15" hidden="false" customHeight="false" outlineLevel="0" collapsed="false">
      <c r="A108" s="48" t="str">
        <f aca="false">A81</f>
        <v>Growth -2.0% / exit cap 7.00%</v>
      </c>
      <c r="B108" s="104" t="n">
        <f aca="false">B81</f>
        <v>0.07</v>
      </c>
      <c r="C108" s="105" t="n">
        <f aca="false">CashFlow!$C$56</f>
        <v>-2587750</v>
      </c>
      <c r="D108" s="71" t="n">
        <f aca="false">D81+CashFlow!D$53*CashFlow!D$5+CashFlow!D$55</f>
        <v>111127.5</v>
      </c>
      <c r="E108" s="71" t="n">
        <f aca="false">E81+CashFlow!E$53*CashFlow!E$5+CashFlow!E$55</f>
        <v>198682.9</v>
      </c>
      <c r="F108" s="71" t="n">
        <f aca="false">F81+CashFlow!F$53*CashFlow!F$5+CashFlow!F$55</f>
        <v>196316.542347809</v>
      </c>
      <c r="G108" s="71" t="n">
        <f aca="false">G81+CashFlow!G$53*CashFlow!G$5+CashFlow!G$55</f>
        <v>203783.698207809</v>
      </c>
      <c r="H108" s="71" t="n">
        <f aca="false">H81+CashFlow!H$53*CashFlow!H$5+CashFlow!H$55</f>
        <v>211415.405074409</v>
      </c>
      <c r="I108" s="71" t="n">
        <f aca="false">I81+CashFlow!I$53*CashFlow!I$5+CashFlow!I$55</f>
        <v>193445.342169426</v>
      </c>
      <c r="J108" s="71" t="n">
        <f aca="false">J81+CashFlow!J$53*CashFlow!J$5+CashFlow!J$55</f>
        <v>3875190.29558974</v>
      </c>
      <c r="K108" s="71" t="n">
        <f aca="false">K81+CashFlow!K$53*CashFlow!K$5+CashFlow!K$55</f>
        <v>0</v>
      </c>
      <c r="L108" s="71" t="n">
        <f aca="false">L81+CashFlow!L$53*CashFlow!L$5+CashFlow!L$55</f>
        <v>0</v>
      </c>
      <c r="M108" s="71" t="n">
        <f aca="false">M81+CashFlow!M$53*CashFlow!M$5+CashFlow!M$55</f>
        <v>0</v>
      </c>
      <c r="N108" s="71" t="n">
        <f aca="false">N81+CashFlow!N$53*CashFlow!N$5+CashFlow!N$55</f>
        <v>0</v>
      </c>
      <c r="O108" s="106" t="n">
        <f aca="false">IFERROR(IRR(C108:N108),IFERROR(IRR(C108:N108,-0.15),IFERROR(IRR(C108:N108,-0.3),"n/m")))</f>
        <v>0.113346390259097</v>
      </c>
    </row>
    <row r="109" customFormat="false" ht="15" hidden="false" customHeight="false" outlineLevel="0" collapsed="false">
      <c r="A109" s="48" t="str">
        <f aca="false">A82</f>
        <v>Growth -2.0% / exit cap 7.50%</v>
      </c>
      <c r="B109" s="104" t="n">
        <f aca="false">B82</f>
        <v>0.075</v>
      </c>
      <c r="C109" s="105" t="n">
        <f aca="false">CashFlow!$C$56</f>
        <v>-2587750</v>
      </c>
      <c r="D109" s="71" t="n">
        <f aca="false">D82+CashFlow!D$53*CashFlow!D$5+CashFlow!D$55</f>
        <v>111127.5</v>
      </c>
      <c r="E109" s="71" t="n">
        <f aca="false">E82+CashFlow!E$53*CashFlow!E$5+CashFlow!E$55</f>
        <v>198682.9</v>
      </c>
      <c r="F109" s="71" t="n">
        <f aca="false">F82+CashFlow!F$53*CashFlow!F$5+CashFlow!F$55</f>
        <v>196316.542347809</v>
      </c>
      <c r="G109" s="71" t="n">
        <f aca="false">G82+CashFlow!G$53*CashFlow!G$5+CashFlow!G$55</f>
        <v>203783.698207809</v>
      </c>
      <c r="H109" s="71" t="n">
        <f aca="false">H82+CashFlow!H$53*CashFlow!H$5+CashFlow!H$55</f>
        <v>211415.405074409</v>
      </c>
      <c r="I109" s="71" t="n">
        <f aca="false">I82+CashFlow!I$53*CashFlow!I$5+CashFlow!I$55</f>
        <v>193445.342169426</v>
      </c>
      <c r="J109" s="71" t="n">
        <f aca="false">J82+CashFlow!J$53*CashFlow!J$5+CashFlow!J$55</f>
        <v>3446974.47632801</v>
      </c>
      <c r="K109" s="71" t="n">
        <f aca="false">K82+CashFlow!K$53*CashFlow!K$5+CashFlow!K$55</f>
        <v>0</v>
      </c>
      <c r="L109" s="71" t="n">
        <f aca="false">L82+CashFlow!L$53*CashFlow!L$5+CashFlow!L$55</f>
        <v>0</v>
      </c>
      <c r="M109" s="71" t="n">
        <f aca="false">M82+CashFlow!M$53*CashFlow!M$5+CashFlow!M$55</f>
        <v>0</v>
      </c>
      <c r="N109" s="71" t="n">
        <f aca="false">N82+CashFlow!N$53*CashFlow!N$5+CashFlow!N$55</f>
        <v>0</v>
      </c>
      <c r="O109" s="106" t="n">
        <f aca="false">IFERROR(IRR(C109:N109),IFERROR(IRR(C109:N109,-0.15),IFERROR(IRR(C109:N109,-0.3),"n/m")))</f>
        <v>0.098082643606304</v>
      </c>
    </row>
    <row r="110" customFormat="false" ht="15" hidden="false" customHeight="false" outlineLevel="0" collapsed="false">
      <c r="A110" s="48" t="str">
        <f aca="false">A83</f>
        <v>Growth -2.0% / exit cap 8.00%</v>
      </c>
      <c r="B110" s="104" t="n">
        <f aca="false">B83</f>
        <v>0.08</v>
      </c>
      <c r="C110" s="105" t="n">
        <f aca="false">CashFlow!$C$56</f>
        <v>-2587750</v>
      </c>
      <c r="D110" s="71" t="n">
        <f aca="false">D83+CashFlow!D$53*CashFlow!D$5+CashFlow!D$55</f>
        <v>111127.5</v>
      </c>
      <c r="E110" s="71" t="n">
        <f aca="false">E83+CashFlow!E$53*CashFlow!E$5+CashFlow!E$55</f>
        <v>198682.9</v>
      </c>
      <c r="F110" s="71" t="n">
        <f aca="false">F83+CashFlow!F$53*CashFlow!F$5+CashFlow!F$55</f>
        <v>196316.542347809</v>
      </c>
      <c r="G110" s="71" t="n">
        <f aca="false">G83+CashFlow!G$53*CashFlow!G$5+CashFlow!G$55</f>
        <v>203783.698207809</v>
      </c>
      <c r="H110" s="71" t="n">
        <f aca="false">H83+CashFlow!H$53*CashFlow!H$5+CashFlow!H$55</f>
        <v>211415.405074409</v>
      </c>
      <c r="I110" s="71" t="n">
        <f aca="false">I83+CashFlow!I$53*CashFlow!I$5+CashFlow!I$55</f>
        <v>193445.342169426</v>
      </c>
      <c r="J110" s="71" t="n">
        <f aca="false">J83+CashFlow!J$53*CashFlow!J$5+CashFlow!J$55</f>
        <v>3072285.634474</v>
      </c>
      <c r="K110" s="71" t="n">
        <f aca="false">K83+CashFlow!K$53*CashFlow!K$5+CashFlow!K$55</f>
        <v>0</v>
      </c>
      <c r="L110" s="71" t="n">
        <f aca="false">L83+CashFlow!L$53*CashFlow!L$5+CashFlow!L$55</f>
        <v>0</v>
      </c>
      <c r="M110" s="71" t="n">
        <f aca="false">M83+CashFlow!M$53*CashFlow!M$5+CashFlow!M$55</f>
        <v>0</v>
      </c>
      <c r="N110" s="71" t="n">
        <f aca="false">N83+CashFlow!N$53*CashFlow!N$5+CashFlow!N$55</f>
        <v>0</v>
      </c>
      <c r="O110" s="106" t="n">
        <f aca="false">IFERROR(IRR(C110:N110),IFERROR(IRR(C110:N110,-0.15),IFERROR(IRR(C110:N110,-0.3),"n/m")))</f>
        <v>0.0834923333154132</v>
      </c>
    </row>
    <row r="111" customFormat="false" ht="15" hidden="false" customHeight="false" outlineLevel="0" collapsed="false">
      <c r="A111" s="48" t="str">
        <f aca="false">A84</f>
        <v>Growth -1.0% / exit cap 6.00%</v>
      </c>
      <c r="B111" s="104" t="n">
        <f aca="false">B84</f>
        <v>0.06</v>
      </c>
      <c r="C111" s="105" t="n">
        <f aca="false">CashFlow!$C$56</f>
        <v>-2587750</v>
      </c>
      <c r="D111" s="71" t="n">
        <f aca="false">D84+CashFlow!D$53*CashFlow!D$5+CashFlow!D$55</f>
        <v>111127.5</v>
      </c>
      <c r="E111" s="71" t="n">
        <f aca="false">E84+CashFlow!E$53*CashFlow!E$5+CashFlow!E$55</f>
        <v>201677.3</v>
      </c>
      <c r="F111" s="71" t="n">
        <f aca="false">F84+CashFlow!F$53*CashFlow!F$5+CashFlow!F$55</f>
        <v>202233.180347809</v>
      </c>
      <c r="G111" s="71" t="n">
        <f aca="false">G84+CashFlow!G$53*CashFlow!G$5+CashFlow!G$55</f>
        <v>212791.852427809</v>
      </c>
      <c r="H111" s="71" t="n">
        <f aca="false">H84+CashFlow!H$53*CashFlow!H$5+CashFlow!H$55</f>
        <v>223606.637673409</v>
      </c>
      <c r="I111" s="71" t="n">
        <f aca="false">I84+CashFlow!I$53*CashFlow!I$5+CashFlow!I$55</f>
        <v>208913.343867952</v>
      </c>
      <c r="J111" s="71" t="n">
        <f aca="false">J84+CashFlow!J$53*CashFlow!J$5+CashFlow!J$55</f>
        <v>5328989.27717842</v>
      </c>
      <c r="K111" s="71" t="n">
        <f aca="false">K84+CashFlow!K$53*CashFlow!K$5+CashFlow!K$55</f>
        <v>0</v>
      </c>
      <c r="L111" s="71" t="n">
        <f aca="false">L84+CashFlow!L$53*CashFlow!L$5+CashFlow!L$55</f>
        <v>0</v>
      </c>
      <c r="M111" s="71" t="n">
        <f aca="false">M84+CashFlow!M$53*CashFlow!M$5+CashFlow!M$55</f>
        <v>0</v>
      </c>
      <c r="N111" s="71" t="n">
        <f aca="false">N84+CashFlow!N$53*CashFlow!N$5+CashFlow!N$55</f>
        <v>0</v>
      </c>
      <c r="O111" s="106" t="n">
        <f aca="false">IFERROR(IRR(C111:N111),IFERROR(IRR(C111:N111,-0.15),IFERROR(IRR(C111:N111,-0.3),"n/m")))</f>
        <v>0.15871641930616</v>
      </c>
    </row>
    <row r="112" customFormat="false" ht="15" hidden="false" customHeight="false" outlineLevel="0" collapsed="false">
      <c r="A112" s="48" t="str">
        <f aca="false">A85</f>
        <v>Growth -1.0% / exit cap 6.50%</v>
      </c>
      <c r="B112" s="104" t="n">
        <f aca="false">B85</f>
        <v>0.065</v>
      </c>
      <c r="C112" s="105" t="n">
        <f aca="false">CashFlow!$C$56</f>
        <v>-2587750</v>
      </c>
      <c r="D112" s="71" t="n">
        <f aca="false">D85+CashFlow!D$53*CashFlow!D$5+CashFlow!D$55</f>
        <v>111127.5</v>
      </c>
      <c r="E112" s="71" t="n">
        <f aca="false">E85+CashFlow!E$53*CashFlow!E$5+CashFlow!E$55</f>
        <v>201677.3</v>
      </c>
      <c r="F112" s="71" t="n">
        <f aca="false">F85+CashFlow!F$53*CashFlow!F$5+CashFlow!F$55</f>
        <v>202233.180347809</v>
      </c>
      <c r="G112" s="71" t="n">
        <f aca="false">G85+CashFlow!G$53*CashFlow!G$5+CashFlow!G$55</f>
        <v>212791.852427809</v>
      </c>
      <c r="H112" s="71" t="n">
        <f aca="false">H85+CashFlow!H$53*CashFlow!H$5+CashFlow!H$55</f>
        <v>223606.637673409</v>
      </c>
      <c r="I112" s="71" t="n">
        <f aca="false">I85+CashFlow!I$53*CashFlow!I$5+CashFlow!I$55</f>
        <v>208913.343867952</v>
      </c>
      <c r="J112" s="71" t="n">
        <f aca="false">J85+CashFlow!J$53*CashFlow!J$5+CashFlow!J$55</f>
        <v>4724512.68987918</v>
      </c>
      <c r="K112" s="71" t="n">
        <f aca="false">K85+CashFlow!K$53*CashFlow!K$5+CashFlow!K$55</f>
        <v>0</v>
      </c>
      <c r="L112" s="71" t="n">
        <f aca="false">L85+CashFlow!L$53*CashFlow!L$5+CashFlow!L$55</f>
        <v>0</v>
      </c>
      <c r="M112" s="71" t="n">
        <f aca="false">M85+CashFlow!M$53*CashFlow!M$5+CashFlow!M$55</f>
        <v>0</v>
      </c>
      <c r="N112" s="71" t="n">
        <f aca="false">N85+CashFlow!N$53*CashFlow!N$5+CashFlow!N$55</f>
        <v>0</v>
      </c>
      <c r="O112" s="106" t="n">
        <f aca="false">IFERROR(IRR(C112:N112),IFERROR(IRR(C112:N112,-0.15),IFERROR(IRR(C112:N112,-0.3),"n/m")))</f>
        <v>0.141960654117895</v>
      </c>
    </row>
    <row r="113" customFormat="false" ht="15" hidden="false" customHeight="false" outlineLevel="0" collapsed="false">
      <c r="A113" s="48" t="str">
        <f aca="false">A86</f>
        <v>Growth -1.0% / exit cap 7.00%</v>
      </c>
      <c r="B113" s="104" t="n">
        <f aca="false">B86</f>
        <v>0.07</v>
      </c>
      <c r="C113" s="105" t="n">
        <f aca="false">CashFlow!$C$56</f>
        <v>-2587750</v>
      </c>
      <c r="D113" s="71" t="n">
        <f aca="false">D86+CashFlow!D$53*CashFlow!D$5+CashFlow!D$55</f>
        <v>111127.5</v>
      </c>
      <c r="E113" s="71" t="n">
        <f aca="false">E86+CashFlow!E$53*CashFlow!E$5+CashFlow!E$55</f>
        <v>201677.3</v>
      </c>
      <c r="F113" s="71" t="n">
        <f aca="false">F86+CashFlow!F$53*CashFlow!F$5+CashFlow!F$55</f>
        <v>202233.180347809</v>
      </c>
      <c r="G113" s="71" t="n">
        <f aca="false">G86+CashFlow!G$53*CashFlow!G$5+CashFlow!G$55</f>
        <v>212791.852427809</v>
      </c>
      <c r="H113" s="71" t="n">
        <f aca="false">H86+CashFlow!H$53*CashFlow!H$5+CashFlow!H$55</f>
        <v>223606.637673409</v>
      </c>
      <c r="I113" s="71" t="n">
        <f aca="false">I86+CashFlow!I$53*CashFlow!I$5+CashFlow!I$55</f>
        <v>208913.343867952</v>
      </c>
      <c r="J113" s="71" t="n">
        <f aca="false">J86+CashFlow!J$53*CashFlow!J$5+CashFlow!J$55</f>
        <v>4206389.90076555</v>
      </c>
      <c r="K113" s="71" t="n">
        <f aca="false">K86+CashFlow!K$53*CashFlow!K$5+CashFlow!K$55</f>
        <v>0</v>
      </c>
      <c r="L113" s="71" t="n">
        <f aca="false">L86+CashFlow!L$53*CashFlow!L$5+CashFlow!L$55</f>
        <v>0</v>
      </c>
      <c r="M113" s="71" t="n">
        <f aca="false">M86+CashFlow!M$53*CashFlow!M$5+CashFlow!M$55</f>
        <v>0</v>
      </c>
      <c r="N113" s="71" t="n">
        <f aca="false">N86+CashFlow!N$53*CashFlow!N$5+CashFlow!N$55</f>
        <v>0</v>
      </c>
      <c r="O113" s="106" t="n">
        <f aca="false">IFERROR(IRR(C113:N113),IFERROR(IRR(C113:N113,-0.15),IFERROR(IRR(C113:N113,-0.3),"n/m")))</f>
        <v>0.126218059225292</v>
      </c>
    </row>
    <row r="114" customFormat="false" ht="15" hidden="false" customHeight="false" outlineLevel="0" collapsed="false">
      <c r="A114" s="48" t="str">
        <f aca="false">A87</f>
        <v>Growth -1.0% / exit cap 7.50%</v>
      </c>
      <c r="B114" s="104" t="n">
        <f aca="false">B87</f>
        <v>0.075</v>
      </c>
      <c r="C114" s="105" t="n">
        <f aca="false">CashFlow!$C$56</f>
        <v>-2587750</v>
      </c>
      <c r="D114" s="71" t="n">
        <f aca="false">D87+CashFlow!D$53*CashFlow!D$5+CashFlow!D$55</f>
        <v>111127.5</v>
      </c>
      <c r="E114" s="71" t="n">
        <f aca="false">E87+CashFlow!E$53*CashFlow!E$5+CashFlow!E$55</f>
        <v>201677.3</v>
      </c>
      <c r="F114" s="71" t="n">
        <f aca="false">F87+CashFlow!F$53*CashFlow!F$5+CashFlow!F$55</f>
        <v>202233.180347809</v>
      </c>
      <c r="G114" s="71" t="n">
        <f aca="false">G87+CashFlow!G$53*CashFlow!G$5+CashFlow!G$55</f>
        <v>212791.852427809</v>
      </c>
      <c r="H114" s="71" t="n">
        <f aca="false">H87+CashFlow!H$53*CashFlow!H$5+CashFlow!H$55</f>
        <v>223606.637673409</v>
      </c>
      <c r="I114" s="71" t="n">
        <f aca="false">I87+CashFlow!I$53*CashFlow!I$5+CashFlow!I$55</f>
        <v>208913.343867952</v>
      </c>
      <c r="J114" s="71" t="n">
        <f aca="false">J87+CashFlow!J$53*CashFlow!J$5+CashFlow!J$55</f>
        <v>3757350.15020041</v>
      </c>
      <c r="K114" s="71" t="n">
        <f aca="false">K87+CashFlow!K$53*CashFlow!K$5+CashFlow!K$55</f>
        <v>0</v>
      </c>
      <c r="L114" s="71" t="n">
        <f aca="false">L87+CashFlow!L$53*CashFlow!L$5+CashFlow!L$55</f>
        <v>0</v>
      </c>
      <c r="M114" s="71" t="n">
        <f aca="false">M87+CashFlow!M$53*CashFlow!M$5+CashFlow!M$55</f>
        <v>0</v>
      </c>
      <c r="N114" s="71" t="n">
        <f aca="false">N87+CashFlow!N$53*CashFlow!N$5+CashFlow!N$55</f>
        <v>0</v>
      </c>
      <c r="O114" s="106" t="n">
        <f aca="false">IFERROR(IRR(C114:N114),IFERROR(IRR(C114:N114,-0.15),IFERROR(IRR(C114:N114,-0.3),"n/m")))</f>
        <v>0.111318179303116</v>
      </c>
    </row>
    <row r="115" customFormat="false" ht="15" hidden="false" customHeight="false" outlineLevel="0" collapsed="false">
      <c r="A115" s="48" t="str">
        <f aca="false">A88</f>
        <v>Growth -1.0% / exit cap 8.00%</v>
      </c>
      <c r="B115" s="104" t="n">
        <f aca="false">B88</f>
        <v>0.08</v>
      </c>
      <c r="C115" s="105" t="n">
        <f aca="false">CashFlow!$C$56</f>
        <v>-2587750</v>
      </c>
      <c r="D115" s="71" t="n">
        <f aca="false">D88+CashFlow!D$53*CashFlow!D$5+CashFlow!D$55</f>
        <v>111127.5</v>
      </c>
      <c r="E115" s="71" t="n">
        <f aca="false">E88+CashFlow!E$53*CashFlow!E$5+CashFlow!E$55</f>
        <v>201677.3</v>
      </c>
      <c r="F115" s="71" t="n">
        <f aca="false">F88+CashFlow!F$53*CashFlow!F$5+CashFlow!F$55</f>
        <v>202233.180347809</v>
      </c>
      <c r="G115" s="71" t="n">
        <f aca="false">G88+CashFlow!G$53*CashFlow!G$5+CashFlow!G$55</f>
        <v>212791.852427809</v>
      </c>
      <c r="H115" s="71" t="n">
        <f aca="false">H88+CashFlow!H$53*CashFlow!H$5+CashFlow!H$55</f>
        <v>223606.637673409</v>
      </c>
      <c r="I115" s="71" t="n">
        <f aca="false">I88+CashFlow!I$53*CashFlow!I$5+CashFlow!I$55</f>
        <v>208913.343867952</v>
      </c>
      <c r="J115" s="71" t="n">
        <f aca="false">J88+CashFlow!J$53*CashFlow!J$5+CashFlow!J$55</f>
        <v>3364440.36845591</v>
      </c>
      <c r="K115" s="71" t="n">
        <f aca="false">K88+CashFlow!K$53*CashFlow!K$5+CashFlow!K$55</f>
        <v>0</v>
      </c>
      <c r="L115" s="71" t="n">
        <f aca="false">L88+CashFlow!L$53*CashFlow!L$5+CashFlow!L$55</f>
        <v>0</v>
      </c>
      <c r="M115" s="71" t="n">
        <f aca="false">M88+CashFlow!M$53*CashFlow!M$5+CashFlow!M$55</f>
        <v>0</v>
      </c>
      <c r="N115" s="71" t="n">
        <f aca="false">N88+CashFlow!N$53*CashFlow!N$5+CashFlow!N$55</f>
        <v>0</v>
      </c>
      <c r="O115" s="106" t="n">
        <f aca="false">IFERROR(IRR(C115:N115),IFERROR(IRR(C115:N115,-0.15),IFERROR(IRR(C115:N115,-0.3),"n/m")))</f>
        <v>0.0971228632392342</v>
      </c>
    </row>
    <row r="116" customFormat="false" ht="15" hidden="false" customHeight="false" outlineLevel="0" collapsed="false">
      <c r="A116" s="48" t="str">
        <f aca="false">A89</f>
        <v>Growth 0.0% / exit cap 6.00%</v>
      </c>
      <c r="B116" s="104" t="n">
        <f aca="false">B89</f>
        <v>0.06</v>
      </c>
      <c r="C116" s="105" t="n">
        <f aca="false">CashFlow!$C$56</f>
        <v>-2587750</v>
      </c>
      <c r="D116" s="71" t="n">
        <f aca="false">D89+CashFlow!D$53*CashFlow!D$5+CashFlow!D$55</f>
        <v>111127.5</v>
      </c>
      <c r="E116" s="71" t="n">
        <f aca="false">E89+CashFlow!E$53*CashFlow!E$5+CashFlow!E$55</f>
        <v>204671.7</v>
      </c>
      <c r="F116" s="71" t="n">
        <f aca="false">F89+CashFlow!F$53*CashFlow!F$5+CashFlow!F$55</f>
        <v>208208.110347809</v>
      </c>
      <c r="G116" s="71" t="n">
        <f aca="false">G89+CashFlow!G$53*CashFlow!G$5+CashFlow!G$55</f>
        <v>221978.380167809</v>
      </c>
      <c r="H116" s="71" t="n">
        <f aca="false">H89+CashFlow!H$53*CashFlow!H$5+CashFlow!H$55</f>
        <v>236161.758082409</v>
      </c>
      <c r="I116" s="71" t="n">
        <f aca="false">I89+CashFlow!I$53*CashFlow!I$5+CashFlow!I$55</f>
        <v>224999.974662758</v>
      </c>
      <c r="J116" s="71" t="n">
        <f aca="false">J89+CashFlow!J$53*CashFlow!J$5+CashFlow!J$55</f>
        <v>5735273.95882607</v>
      </c>
      <c r="K116" s="71" t="n">
        <f aca="false">K89+CashFlow!K$53*CashFlow!K$5+CashFlow!K$55</f>
        <v>0</v>
      </c>
      <c r="L116" s="71" t="n">
        <f aca="false">L89+CashFlow!L$53*CashFlow!L$5+CashFlow!L$55</f>
        <v>0</v>
      </c>
      <c r="M116" s="71" t="n">
        <f aca="false">M89+CashFlow!M$53*CashFlow!M$5+CashFlow!M$55</f>
        <v>0</v>
      </c>
      <c r="N116" s="71" t="n">
        <f aca="false">N89+CashFlow!N$53*CashFlow!N$5+CashFlow!N$55</f>
        <v>0</v>
      </c>
      <c r="O116" s="106" t="n">
        <f aca="false">IFERROR(IRR(C116:N116),IFERROR(IRR(C116:N116,-0.15),IFERROR(IRR(C116:N116,-0.3),"n/m")))</f>
        <v>0.170866950424374</v>
      </c>
    </row>
    <row r="117" customFormat="false" ht="15" hidden="false" customHeight="false" outlineLevel="0" collapsed="false">
      <c r="A117" s="48" t="str">
        <f aca="false">A90</f>
        <v>Growth 0.0% / exit cap 6.50%</v>
      </c>
      <c r="B117" s="104" t="n">
        <f aca="false">B90</f>
        <v>0.065</v>
      </c>
      <c r="C117" s="105" t="n">
        <f aca="false">CashFlow!$C$56</f>
        <v>-2587750</v>
      </c>
      <c r="D117" s="71" t="n">
        <f aca="false">D90+CashFlow!D$53*CashFlow!D$5+CashFlow!D$55</f>
        <v>111127.5</v>
      </c>
      <c r="E117" s="71" t="n">
        <f aca="false">E90+CashFlow!E$53*CashFlow!E$5+CashFlow!E$55</f>
        <v>204671.7</v>
      </c>
      <c r="F117" s="71" t="n">
        <f aca="false">F90+CashFlow!F$53*CashFlow!F$5+CashFlow!F$55</f>
        <v>208208.110347809</v>
      </c>
      <c r="G117" s="71" t="n">
        <f aca="false">G90+CashFlow!G$53*CashFlow!G$5+CashFlow!G$55</f>
        <v>221978.380167809</v>
      </c>
      <c r="H117" s="71" t="n">
        <f aca="false">H90+CashFlow!H$53*CashFlow!H$5+CashFlow!H$55</f>
        <v>236161.758082409</v>
      </c>
      <c r="I117" s="71" t="n">
        <f aca="false">I90+CashFlow!I$53*CashFlow!I$5+CashFlow!I$55</f>
        <v>224999.974662758</v>
      </c>
      <c r="J117" s="71" t="n">
        <f aca="false">J90+CashFlow!J$53*CashFlow!J$5+CashFlow!J$55</f>
        <v>5101066.79475607</v>
      </c>
      <c r="K117" s="71" t="n">
        <f aca="false">K90+CashFlow!K$53*CashFlow!K$5+CashFlow!K$55</f>
        <v>0</v>
      </c>
      <c r="L117" s="71" t="n">
        <f aca="false">L90+CashFlow!L$53*CashFlow!L$5+CashFlow!L$55</f>
        <v>0</v>
      </c>
      <c r="M117" s="71" t="n">
        <f aca="false">M90+CashFlow!M$53*CashFlow!M$5+CashFlow!M$55</f>
        <v>0</v>
      </c>
      <c r="N117" s="71" t="n">
        <f aca="false">N90+CashFlow!N$53*CashFlow!N$5+CashFlow!N$55</f>
        <v>0</v>
      </c>
      <c r="O117" s="106" t="n">
        <f aca="false">IFERROR(IRR(C117:N117),IFERROR(IRR(C117:N117,-0.15),IFERROR(IRR(C117:N117,-0.3),"n/m")))</f>
        <v>0.154384536719637</v>
      </c>
    </row>
    <row r="118" customFormat="false" ht="15" hidden="false" customHeight="false" outlineLevel="0" collapsed="false">
      <c r="A118" s="48" t="str">
        <f aca="false">A91</f>
        <v>Growth 0.0% / exit cap 7.00%</v>
      </c>
      <c r="B118" s="104" t="n">
        <f aca="false">B91</f>
        <v>0.07</v>
      </c>
      <c r="C118" s="105" t="n">
        <f aca="false">CashFlow!$C$56</f>
        <v>-2587750</v>
      </c>
      <c r="D118" s="71" t="n">
        <f aca="false">D91+CashFlow!D$53*CashFlow!D$5+CashFlow!D$55</f>
        <v>111127.5</v>
      </c>
      <c r="E118" s="71" t="n">
        <f aca="false">E91+CashFlow!E$53*CashFlow!E$5+CashFlow!E$55</f>
        <v>204671.7</v>
      </c>
      <c r="F118" s="71" t="n">
        <f aca="false">F91+CashFlow!F$53*CashFlow!F$5+CashFlow!F$55</f>
        <v>208208.110347809</v>
      </c>
      <c r="G118" s="71" t="n">
        <f aca="false">G91+CashFlow!G$53*CashFlow!G$5+CashFlow!G$55</f>
        <v>221978.380167809</v>
      </c>
      <c r="H118" s="71" t="n">
        <f aca="false">H91+CashFlow!H$53*CashFlow!H$5+CashFlow!H$55</f>
        <v>236161.758082409</v>
      </c>
      <c r="I118" s="71" t="n">
        <f aca="false">I91+CashFlow!I$53*CashFlow!I$5+CashFlow!I$55</f>
        <v>224999.974662758</v>
      </c>
      <c r="J118" s="71" t="n">
        <f aca="false">J91+CashFlow!J$53*CashFlow!J$5+CashFlow!J$55</f>
        <v>4557460.65412464</v>
      </c>
      <c r="K118" s="71" t="n">
        <f aca="false">K91+CashFlow!K$53*CashFlow!K$5+CashFlow!K$55</f>
        <v>0</v>
      </c>
      <c r="L118" s="71" t="n">
        <f aca="false">L91+CashFlow!L$53*CashFlow!L$5+CashFlow!L$55</f>
        <v>0</v>
      </c>
      <c r="M118" s="71" t="n">
        <f aca="false">M91+CashFlow!M$53*CashFlow!M$5+CashFlow!M$55</f>
        <v>0</v>
      </c>
      <c r="N118" s="71" t="n">
        <f aca="false">N91+CashFlow!N$53*CashFlow!N$5+CashFlow!N$55</f>
        <v>0</v>
      </c>
      <c r="O118" s="106" t="n">
        <f aca="false">IFERROR(IRR(C118:N118),IFERROR(IRR(C118:N118,-0.15),IFERROR(IRR(C118:N118,-0.3),"n/m")))</f>
        <v>0.138939006987421</v>
      </c>
    </row>
    <row r="119" customFormat="false" ht="15" hidden="false" customHeight="false" outlineLevel="0" collapsed="false">
      <c r="A119" s="48" t="str">
        <f aca="false">A92</f>
        <v>Growth 0.0% / exit cap 7.50%</v>
      </c>
      <c r="B119" s="104" t="n">
        <f aca="false">B92</f>
        <v>0.075</v>
      </c>
      <c r="C119" s="105" t="n">
        <f aca="false">CashFlow!$C$56</f>
        <v>-2587750</v>
      </c>
      <c r="D119" s="71" t="n">
        <f aca="false">D92+CashFlow!D$53*CashFlow!D$5+CashFlow!D$55</f>
        <v>111127.5</v>
      </c>
      <c r="E119" s="71" t="n">
        <f aca="false">E92+CashFlow!E$53*CashFlow!E$5+CashFlow!E$55</f>
        <v>204671.7</v>
      </c>
      <c r="F119" s="71" t="n">
        <f aca="false">F92+CashFlow!F$53*CashFlow!F$5+CashFlow!F$55</f>
        <v>208208.110347809</v>
      </c>
      <c r="G119" s="71" t="n">
        <f aca="false">G92+CashFlow!G$53*CashFlow!G$5+CashFlow!G$55</f>
        <v>221978.380167809</v>
      </c>
      <c r="H119" s="71" t="n">
        <f aca="false">H92+CashFlow!H$53*CashFlow!H$5+CashFlow!H$55</f>
        <v>236161.758082409</v>
      </c>
      <c r="I119" s="71" t="n">
        <f aca="false">I92+CashFlow!I$53*CashFlow!I$5+CashFlow!I$55</f>
        <v>224999.974662758</v>
      </c>
      <c r="J119" s="71" t="n">
        <f aca="false">J92+CashFlow!J$53*CashFlow!J$5+CashFlow!J$55</f>
        <v>4086335.33224407</v>
      </c>
      <c r="K119" s="71" t="n">
        <f aca="false">K92+CashFlow!K$53*CashFlow!K$5+CashFlow!K$55</f>
        <v>0</v>
      </c>
      <c r="L119" s="71" t="n">
        <f aca="false">L92+CashFlow!L$53*CashFlow!L$5+CashFlow!L$55</f>
        <v>0</v>
      </c>
      <c r="M119" s="71" t="n">
        <f aca="false">M92+CashFlow!M$53*CashFlow!M$5+CashFlow!M$55</f>
        <v>0</v>
      </c>
      <c r="N119" s="71" t="n">
        <f aca="false">N92+CashFlow!N$53*CashFlow!N$5+CashFlow!N$55</f>
        <v>0</v>
      </c>
      <c r="O119" s="106" t="n">
        <f aca="false">IFERROR(IRR(C119:N119),IFERROR(IRR(C119:N119,-0.15),IFERROR(IRR(C119:N119,-0.3),"n/m")))</f>
        <v>0.124360770045192</v>
      </c>
    </row>
    <row r="120" customFormat="false" ht="15" hidden="false" customHeight="false" outlineLevel="0" collapsed="false">
      <c r="A120" s="48" t="str">
        <f aca="false">A93</f>
        <v>Growth 0.0% / exit cap 8.00%</v>
      </c>
      <c r="B120" s="104" t="n">
        <f aca="false">B93</f>
        <v>0.08</v>
      </c>
      <c r="C120" s="105" t="n">
        <f aca="false">CashFlow!$C$56</f>
        <v>-2587750</v>
      </c>
      <c r="D120" s="71" t="n">
        <f aca="false">D93+CashFlow!D$53*CashFlow!D$5+CashFlow!D$55</f>
        <v>111127.5</v>
      </c>
      <c r="E120" s="71" t="n">
        <f aca="false">E93+CashFlow!E$53*CashFlow!E$5+CashFlow!E$55</f>
        <v>204671.7</v>
      </c>
      <c r="F120" s="71" t="n">
        <f aca="false">F93+CashFlow!F$53*CashFlow!F$5+CashFlow!F$55</f>
        <v>208208.110347809</v>
      </c>
      <c r="G120" s="71" t="n">
        <f aca="false">G93+CashFlow!G$53*CashFlow!G$5+CashFlow!G$55</f>
        <v>221978.380167809</v>
      </c>
      <c r="H120" s="71" t="n">
        <f aca="false">H93+CashFlow!H$53*CashFlow!H$5+CashFlow!H$55</f>
        <v>236161.758082409</v>
      </c>
      <c r="I120" s="71" t="n">
        <f aca="false">I93+CashFlow!I$53*CashFlow!I$5+CashFlow!I$55</f>
        <v>224999.974662758</v>
      </c>
      <c r="J120" s="71" t="n">
        <f aca="false">J93+CashFlow!J$53*CashFlow!J$5+CashFlow!J$55</f>
        <v>3674100.67559856</v>
      </c>
      <c r="K120" s="71" t="n">
        <f aca="false">K93+CashFlow!K$53*CashFlow!K$5+CashFlow!K$55</f>
        <v>0</v>
      </c>
      <c r="L120" s="71" t="n">
        <f aca="false">L93+CashFlow!L$53*CashFlow!L$5+CashFlow!L$55</f>
        <v>0</v>
      </c>
      <c r="M120" s="71" t="n">
        <f aca="false">M93+CashFlow!M$53*CashFlow!M$5+CashFlow!M$55</f>
        <v>0</v>
      </c>
      <c r="N120" s="71" t="n">
        <f aca="false">N93+CashFlow!N$53*CashFlow!N$5+CashFlow!N$55</f>
        <v>0</v>
      </c>
      <c r="O120" s="106" t="n">
        <f aca="false">IFERROR(IRR(C120:N120),IFERROR(IRR(C120:N120,-0.15),IFERROR(IRR(C120:N120,-0.3),"n/m")))</f>
        <v>0.11051297436063</v>
      </c>
    </row>
    <row r="121" customFormat="false" ht="15" hidden="false" customHeight="false" outlineLevel="0" collapsed="false">
      <c r="A121" s="48" t="str">
        <f aca="false">A94</f>
        <v>Growth +1.0% / exit cap 6.00%</v>
      </c>
      <c r="B121" s="104" t="n">
        <f aca="false">B94</f>
        <v>0.06</v>
      </c>
      <c r="C121" s="105" t="n">
        <f aca="false">CashFlow!$C$56</f>
        <v>-2587750</v>
      </c>
      <c r="D121" s="71" t="n">
        <f aca="false">D94+CashFlow!D$53*CashFlow!D$5+CashFlow!D$55</f>
        <v>111127.5</v>
      </c>
      <c r="E121" s="71" t="n">
        <f aca="false">E94+CashFlow!E$53*CashFlow!E$5+CashFlow!E$55</f>
        <v>207666.1</v>
      </c>
      <c r="F121" s="71" t="n">
        <f aca="false">F94+CashFlow!F$53*CashFlow!F$5+CashFlow!F$55</f>
        <v>214241.332347809</v>
      </c>
      <c r="G121" s="71" t="n">
        <f aca="false">G94+CashFlow!G$53*CashFlow!G$5+CashFlow!G$55</f>
        <v>231345.030187809</v>
      </c>
      <c r="H121" s="71" t="n">
        <f aca="false">H94+CashFlow!H$53*CashFlow!H$5+CashFlow!H$55</f>
        <v>249087.936217409</v>
      </c>
      <c r="I121" s="71" t="n">
        <f aca="false">I94+CashFlow!I$53*CashFlow!I$5+CashFlow!I$55</f>
        <v>241723.607900784</v>
      </c>
      <c r="J121" s="71" t="n">
        <f aca="false">J94+CashFlow!J$53*CashFlow!J$5+CashFlow!J$55</f>
        <v>6165725.20374655</v>
      </c>
      <c r="K121" s="71" t="n">
        <f aca="false">K94+CashFlow!K$53*CashFlow!K$5+CashFlow!K$55</f>
        <v>0</v>
      </c>
      <c r="L121" s="71" t="n">
        <f aca="false">L94+CashFlow!L$53*CashFlow!L$5+CashFlow!L$55</f>
        <v>0</v>
      </c>
      <c r="M121" s="71" t="n">
        <f aca="false">M94+CashFlow!M$53*CashFlow!M$5+CashFlow!M$55</f>
        <v>0</v>
      </c>
      <c r="N121" s="71" t="n">
        <f aca="false">N94+CashFlow!N$53*CashFlow!N$5+CashFlow!N$55</f>
        <v>0</v>
      </c>
      <c r="O121" s="106" t="n">
        <f aca="false">IFERROR(IRR(C121:N121),IFERROR(IRR(C121:N121,-0.15),IFERROR(IRR(C121:N121,-0.3),"n/m")))</f>
        <v>0.182944574756944</v>
      </c>
    </row>
    <row r="122" customFormat="false" ht="15" hidden="false" customHeight="false" outlineLevel="0" collapsed="false">
      <c r="A122" s="48" t="str">
        <f aca="false">A95</f>
        <v>Growth +1.0% / exit cap 6.50%</v>
      </c>
      <c r="B122" s="104" t="n">
        <f aca="false">B95</f>
        <v>0.065</v>
      </c>
      <c r="C122" s="105" t="n">
        <f aca="false">CashFlow!$C$56</f>
        <v>-2587750</v>
      </c>
      <c r="D122" s="71" t="n">
        <f aca="false">D95+CashFlow!D$53*CashFlow!D$5+CashFlow!D$55</f>
        <v>111127.5</v>
      </c>
      <c r="E122" s="71" t="n">
        <f aca="false">E95+CashFlow!E$53*CashFlow!E$5+CashFlow!E$55</f>
        <v>207666.1</v>
      </c>
      <c r="F122" s="71" t="n">
        <f aca="false">F95+CashFlow!F$53*CashFlow!F$5+CashFlow!F$55</f>
        <v>214241.332347809</v>
      </c>
      <c r="G122" s="71" t="n">
        <f aca="false">G95+CashFlow!G$53*CashFlow!G$5+CashFlow!G$55</f>
        <v>231345.030187809</v>
      </c>
      <c r="H122" s="71" t="n">
        <f aca="false">H95+CashFlow!H$53*CashFlow!H$5+CashFlow!H$55</f>
        <v>249087.936217409</v>
      </c>
      <c r="I122" s="71" t="n">
        <f aca="false">I95+CashFlow!I$53*CashFlow!I$5+CashFlow!I$55</f>
        <v>241723.607900784</v>
      </c>
      <c r="J122" s="71" t="n">
        <f aca="false">J95+CashFlow!J$53*CashFlow!J$5+CashFlow!J$55</f>
        <v>5500004.2053584</v>
      </c>
      <c r="K122" s="71" t="n">
        <f aca="false">K95+CashFlow!K$53*CashFlow!K$5+CashFlow!K$55</f>
        <v>0</v>
      </c>
      <c r="L122" s="71" t="n">
        <f aca="false">L95+CashFlow!L$53*CashFlow!L$5+CashFlow!L$55</f>
        <v>0</v>
      </c>
      <c r="M122" s="71" t="n">
        <f aca="false">M95+CashFlow!M$53*CashFlow!M$5+CashFlow!M$55</f>
        <v>0</v>
      </c>
      <c r="N122" s="71" t="n">
        <f aca="false">N95+CashFlow!N$53*CashFlow!N$5+CashFlow!N$55</f>
        <v>0</v>
      </c>
      <c r="O122" s="106" t="n">
        <f aca="false">IFERROR(IRR(C122:N122),IFERROR(IRR(C122:N122,-0.15),IFERROR(IRR(C122:N122,-0.3),"n/m")))</f>
        <v>0.166705007577036</v>
      </c>
    </row>
    <row r="123" customFormat="false" ht="15" hidden="false" customHeight="false" outlineLevel="0" collapsed="false">
      <c r="A123" s="48" t="str">
        <f aca="false">A96</f>
        <v>Growth +1.0% / exit cap 7.00%</v>
      </c>
      <c r="B123" s="104" t="n">
        <f aca="false">B96</f>
        <v>0.07</v>
      </c>
      <c r="C123" s="105" t="n">
        <f aca="false">CashFlow!$C$56</f>
        <v>-2587750</v>
      </c>
      <c r="D123" s="71" t="n">
        <f aca="false">D96+CashFlow!D$53*CashFlow!D$5+CashFlow!D$55</f>
        <v>111127.5</v>
      </c>
      <c r="E123" s="71" t="n">
        <f aca="false">E96+CashFlow!E$53*CashFlow!E$5+CashFlow!E$55</f>
        <v>207666.1</v>
      </c>
      <c r="F123" s="71" t="n">
        <f aca="false">F96+CashFlow!F$53*CashFlow!F$5+CashFlow!F$55</f>
        <v>214241.332347809</v>
      </c>
      <c r="G123" s="71" t="n">
        <f aca="false">G96+CashFlow!G$53*CashFlow!G$5+CashFlow!G$55</f>
        <v>231345.030187809</v>
      </c>
      <c r="H123" s="71" t="n">
        <f aca="false">H96+CashFlow!H$53*CashFlow!H$5+CashFlow!H$55</f>
        <v>249087.936217409</v>
      </c>
      <c r="I123" s="71" t="n">
        <f aca="false">I96+CashFlow!I$53*CashFlow!I$5+CashFlow!I$55</f>
        <v>241723.607900784</v>
      </c>
      <c r="J123" s="71" t="n">
        <f aca="false">J96+CashFlow!J$53*CashFlow!J$5+CashFlow!J$55</f>
        <v>4929386.20673998</v>
      </c>
      <c r="K123" s="71" t="n">
        <f aca="false">K96+CashFlow!K$53*CashFlow!K$5+CashFlow!K$55</f>
        <v>0</v>
      </c>
      <c r="L123" s="71" t="n">
        <f aca="false">L96+CashFlow!L$53*CashFlow!L$5+CashFlow!L$55</f>
        <v>0</v>
      </c>
      <c r="M123" s="71" t="n">
        <f aca="false">M96+CashFlow!M$53*CashFlow!M$5+CashFlow!M$55</f>
        <v>0</v>
      </c>
      <c r="N123" s="71" t="n">
        <f aca="false">N96+CashFlow!N$53*CashFlow!N$5+CashFlow!N$55</f>
        <v>0</v>
      </c>
      <c r="O123" s="106" t="n">
        <f aca="false">IFERROR(IRR(C123:N123),IFERROR(IRR(C123:N123,-0.15),IFERROR(IRR(C123:N123,-0.3),"n/m")))</f>
        <v>0.15152294275257</v>
      </c>
    </row>
    <row r="124" customFormat="false" ht="15" hidden="false" customHeight="false" outlineLevel="0" collapsed="false">
      <c r="A124" s="48" t="str">
        <f aca="false">A97</f>
        <v>Growth +1.0% / exit cap 7.50%</v>
      </c>
      <c r="B124" s="104" t="n">
        <f aca="false">B97</f>
        <v>0.075</v>
      </c>
      <c r="C124" s="105" t="n">
        <f aca="false">CashFlow!$C$56</f>
        <v>-2587750</v>
      </c>
      <c r="D124" s="71" t="n">
        <f aca="false">D97+CashFlow!D$53*CashFlow!D$5+CashFlow!D$55</f>
        <v>111127.5</v>
      </c>
      <c r="E124" s="71" t="n">
        <f aca="false">E97+CashFlow!E$53*CashFlow!E$5+CashFlow!E$55</f>
        <v>207666.1</v>
      </c>
      <c r="F124" s="71" t="n">
        <f aca="false">F97+CashFlow!F$53*CashFlow!F$5+CashFlow!F$55</f>
        <v>214241.332347809</v>
      </c>
      <c r="G124" s="71" t="n">
        <f aca="false">G97+CashFlow!G$53*CashFlow!G$5+CashFlow!G$55</f>
        <v>231345.030187809</v>
      </c>
      <c r="H124" s="71" t="n">
        <f aca="false">H97+CashFlow!H$53*CashFlow!H$5+CashFlow!H$55</f>
        <v>249087.936217409</v>
      </c>
      <c r="I124" s="71" t="n">
        <f aca="false">I97+CashFlow!I$53*CashFlow!I$5+CashFlow!I$55</f>
        <v>241723.607900784</v>
      </c>
      <c r="J124" s="71" t="n">
        <f aca="false">J97+CashFlow!J$53*CashFlow!J$5+CashFlow!J$55</f>
        <v>4434850.60793735</v>
      </c>
      <c r="K124" s="71" t="n">
        <f aca="false">K97+CashFlow!K$53*CashFlow!K$5+CashFlow!K$55</f>
        <v>0</v>
      </c>
      <c r="L124" s="71" t="n">
        <f aca="false">L97+CashFlow!L$53*CashFlow!L$5+CashFlow!L$55</f>
        <v>0</v>
      </c>
      <c r="M124" s="71" t="n">
        <f aca="false">M97+CashFlow!M$53*CashFlow!M$5+CashFlow!M$55</f>
        <v>0</v>
      </c>
      <c r="N124" s="71" t="n">
        <f aca="false">N97+CashFlow!N$53*CashFlow!N$5+CashFlow!N$55</f>
        <v>0</v>
      </c>
      <c r="O124" s="106" t="n">
        <f aca="false">IFERROR(IRR(C124:N124),IFERROR(IRR(C124:N124,-0.15),IFERROR(IRR(C124:N124,-0.3),"n/m")))</f>
        <v>0.137229173413983</v>
      </c>
    </row>
    <row r="125" customFormat="false" ht="15" hidden="false" customHeight="false" outlineLevel="0" collapsed="false">
      <c r="A125" s="48" t="str">
        <f aca="false">A98</f>
        <v>Growth +1.0% / exit cap 8.00%</v>
      </c>
      <c r="B125" s="104" t="n">
        <f aca="false">B98</f>
        <v>0.08</v>
      </c>
      <c r="C125" s="105" t="n">
        <f aca="false">CashFlow!$C$56</f>
        <v>-2587750</v>
      </c>
      <c r="D125" s="71" t="n">
        <f aca="false">D98+CashFlow!D$53*CashFlow!D$5+CashFlow!D$55</f>
        <v>111127.5</v>
      </c>
      <c r="E125" s="71" t="n">
        <f aca="false">E98+CashFlow!E$53*CashFlow!E$5+CashFlow!E$55</f>
        <v>207666.1</v>
      </c>
      <c r="F125" s="71" t="n">
        <f aca="false">F98+CashFlow!F$53*CashFlow!F$5+CashFlow!F$55</f>
        <v>214241.332347809</v>
      </c>
      <c r="G125" s="71" t="n">
        <f aca="false">G98+CashFlow!G$53*CashFlow!G$5+CashFlow!G$55</f>
        <v>231345.030187809</v>
      </c>
      <c r="H125" s="71" t="n">
        <f aca="false">H98+CashFlow!H$53*CashFlow!H$5+CashFlow!H$55</f>
        <v>249087.936217409</v>
      </c>
      <c r="I125" s="71" t="n">
        <f aca="false">I98+CashFlow!I$53*CashFlow!I$5+CashFlow!I$55</f>
        <v>241723.607900784</v>
      </c>
      <c r="J125" s="71" t="n">
        <f aca="false">J98+CashFlow!J$53*CashFlow!J$5+CashFlow!J$55</f>
        <v>4002131.95898505</v>
      </c>
      <c r="K125" s="71" t="n">
        <f aca="false">K98+CashFlow!K$53*CashFlow!K$5+CashFlow!K$55</f>
        <v>0</v>
      </c>
      <c r="L125" s="71" t="n">
        <f aca="false">L98+CashFlow!L$53*CashFlow!L$5+CashFlow!L$55</f>
        <v>0</v>
      </c>
      <c r="M125" s="71" t="n">
        <f aca="false">M98+CashFlow!M$53*CashFlow!M$5+CashFlow!M$55</f>
        <v>0</v>
      </c>
      <c r="N125" s="71" t="n">
        <f aca="false">N98+CashFlow!N$53*CashFlow!N$5+CashFlow!N$55</f>
        <v>0</v>
      </c>
      <c r="O125" s="106" t="n">
        <f aca="false">IFERROR(IRR(C125:N125),IFERROR(IRR(C125:N125,-0.15),IFERROR(IRR(C125:N125,-0.3),"n/m")))</f>
        <v>0.123687591833548</v>
      </c>
    </row>
    <row r="126" customFormat="false" ht="15" hidden="false" customHeight="false" outlineLevel="0" collapsed="false">
      <c r="A126" s="48" t="str">
        <f aca="false">A99</f>
        <v>Growth +2.0% / exit cap 6.00%</v>
      </c>
      <c r="B126" s="104" t="n">
        <f aca="false">B99</f>
        <v>0.06</v>
      </c>
      <c r="C126" s="105" t="n">
        <f aca="false">CashFlow!$C$56</f>
        <v>-2587750</v>
      </c>
      <c r="D126" s="71" t="n">
        <f aca="false">D99+CashFlow!D$53*CashFlow!D$5+CashFlow!D$55</f>
        <v>111127.5</v>
      </c>
      <c r="E126" s="71" t="n">
        <f aca="false">E99+CashFlow!E$53*CashFlow!E$5+CashFlow!E$55</f>
        <v>210660.5</v>
      </c>
      <c r="F126" s="71" t="n">
        <f aca="false">F99+CashFlow!F$53*CashFlow!F$5+CashFlow!F$55</f>
        <v>220332.846347809</v>
      </c>
      <c r="G126" s="71" t="n">
        <f aca="false">G99+CashFlow!G$53*CashFlow!G$5+CashFlow!G$55</f>
        <v>240893.551247809</v>
      </c>
      <c r="H126" s="71" t="n">
        <f aca="false">H99+CashFlow!H$53*CashFlow!H$5+CashFlow!H$55</f>
        <v>262392.411944809</v>
      </c>
      <c r="I126" s="71" t="n">
        <f aca="false">I99+CashFlow!I$53*CashFlow!I$5+CashFlow!I$55</f>
        <v>259102.97717353</v>
      </c>
      <c r="J126" s="71" t="n">
        <f aca="false">J99+CashFlow!J$53*CashFlow!J$5+CashFlow!J$55</f>
        <v>6621529.14061704</v>
      </c>
      <c r="K126" s="71" t="n">
        <f aca="false">K99+CashFlow!K$53*CashFlow!K$5+CashFlow!K$55</f>
        <v>0</v>
      </c>
      <c r="L126" s="71" t="n">
        <f aca="false">L99+CashFlow!L$53*CashFlow!L$5+CashFlow!L$55</f>
        <v>0</v>
      </c>
      <c r="M126" s="71" t="n">
        <f aca="false">M99+CashFlow!M$53*CashFlow!M$5+CashFlow!M$55</f>
        <v>0</v>
      </c>
      <c r="N126" s="71" t="n">
        <f aca="false">N99+CashFlow!N$53*CashFlow!N$5+CashFlow!N$55</f>
        <v>0</v>
      </c>
      <c r="O126" s="106" t="n">
        <f aca="false">IFERROR(IRR(C126:N126),IFERROR(IRR(C126:N126,-0.15),IFERROR(IRR(C126:N126,-0.3),"n/m")))</f>
        <v>0.194954872954573</v>
      </c>
    </row>
    <row r="127" customFormat="false" ht="15" hidden="false" customHeight="false" outlineLevel="0" collapsed="false">
      <c r="A127" s="48" t="str">
        <f aca="false">A100</f>
        <v>Growth +2.0% / exit cap 6.50%</v>
      </c>
      <c r="B127" s="104" t="n">
        <f aca="false">B100</f>
        <v>0.065</v>
      </c>
      <c r="C127" s="105" t="n">
        <f aca="false">CashFlow!$C$56</f>
        <v>-2587750</v>
      </c>
      <c r="D127" s="71" t="n">
        <f aca="false">D100+CashFlow!D$53*CashFlow!D$5+CashFlow!D$55</f>
        <v>111127.5</v>
      </c>
      <c r="E127" s="71" t="n">
        <f aca="false">E100+CashFlow!E$53*CashFlow!E$5+CashFlow!E$55</f>
        <v>210660.5</v>
      </c>
      <c r="F127" s="71" t="n">
        <f aca="false">F100+CashFlow!F$53*CashFlow!F$5+CashFlow!F$55</f>
        <v>220332.846347809</v>
      </c>
      <c r="G127" s="71" t="n">
        <f aca="false">G100+CashFlow!G$53*CashFlow!G$5+CashFlow!G$55</f>
        <v>240893.551247809</v>
      </c>
      <c r="H127" s="71" t="n">
        <f aca="false">H100+CashFlow!H$53*CashFlow!H$5+CashFlow!H$55</f>
        <v>262392.411944809</v>
      </c>
      <c r="I127" s="71" t="n">
        <f aca="false">I100+CashFlow!I$53*CashFlow!I$5+CashFlow!I$55</f>
        <v>259102.97717353</v>
      </c>
      <c r="J127" s="71" t="n">
        <f aca="false">J100+CashFlow!J$53*CashFlow!J$5+CashFlow!J$55</f>
        <v>5922422.79279929</v>
      </c>
      <c r="K127" s="71" t="n">
        <f aca="false">K100+CashFlow!K$53*CashFlow!K$5+CashFlow!K$55</f>
        <v>0</v>
      </c>
      <c r="L127" s="71" t="n">
        <f aca="false">L100+CashFlow!L$53*CashFlow!L$5+CashFlow!L$55</f>
        <v>0</v>
      </c>
      <c r="M127" s="71" t="n">
        <f aca="false">M100+CashFlow!M$53*CashFlow!M$5+CashFlow!M$55</f>
        <v>0</v>
      </c>
      <c r="N127" s="71" t="n">
        <f aca="false">N100+CashFlow!N$53*CashFlow!N$5+CashFlow!N$55</f>
        <v>0</v>
      </c>
      <c r="O127" s="106" t="n">
        <f aca="false">IFERROR(IRR(C127:N127),IFERROR(IRR(C127:N127,-0.15),IFERROR(IRR(C127:N127,-0.3),"n/m")))</f>
        <v>0.178930615345942</v>
      </c>
    </row>
    <row r="128" customFormat="false" ht="15" hidden="false" customHeight="false" outlineLevel="0" collapsed="false">
      <c r="A128" s="48" t="str">
        <f aca="false">A101</f>
        <v>Growth +2.0% / exit cap 7.00%</v>
      </c>
      <c r="B128" s="104" t="n">
        <f aca="false">B101</f>
        <v>0.07</v>
      </c>
      <c r="C128" s="105" t="n">
        <f aca="false">CashFlow!$C$56</f>
        <v>-2587750</v>
      </c>
      <c r="D128" s="71" t="n">
        <f aca="false">D101+CashFlow!D$53*CashFlow!D$5+CashFlow!D$55</f>
        <v>111127.5</v>
      </c>
      <c r="E128" s="71" t="n">
        <f aca="false">E101+CashFlow!E$53*CashFlow!E$5+CashFlow!E$55</f>
        <v>210660.5</v>
      </c>
      <c r="F128" s="71" t="n">
        <f aca="false">F101+CashFlow!F$53*CashFlow!F$5+CashFlow!F$55</f>
        <v>220332.846347809</v>
      </c>
      <c r="G128" s="71" t="n">
        <f aca="false">G101+CashFlow!G$53*CashFlow!G$5+CashFlow!G$55</f>
        <v>240893.551247809</v>
      </c>
      <c r="H128" s="71" t="n">
        <f aca="false">H101+CashFlow!H$53*CashFlow!H$5+CashFlow!H$55</f>
        <v>262392.411944809</v>
      </c>
      <c r="I128" s="71" t="n">
        <f aca="false">I101+CashFlow!I$53*CashFlow!I$5+CashFlow!I$55</f>
        <v>259102.97717353</v>
      </c>
      <c r="J128" s="71" t="n">
        <f aca="false">J101+CashFlow!J$53*CashFlow!J$5+CashFlow!J$55</f>
        <v>5323188.78038407</v>
      </c>
      <c r="K128" s="71" t="n">
        <f aca="false">K101+CashFlow!K$53*CashFlow!K$5+CashFlow!K$55</f>
        <v>0</v>
      </c>
      <c r="L128" s="71" t="n">
        <f aca="false">L101+CashFlow!L$53*CashFlow!L$5+CashFlow!L$55</f>
        <v>0</v>
      </c>
      <c r="M128" s="71" t="n">
        <f aca="false">M101+CashFlow!M$53*CashFlow!M$5+CashFlow!M$55</f>
        <v>0</v>
      </c>
      <c r="N128" s="71" t="n">
        <f aca="false">N101+CashFlow!N$53*CashFlow!N$5+CashFlow!N$55</f>
        <v>0</v>
      </c>
      <c r="O128" s="106" t="n">
        <f aca="false">IFERROR(IRR(C128:N128),IFERROR(IRR(C128:N128,-0.15),IFERROR(IRR(C128:N128,-0.3),"n/m")))</f>
        <v>0.163981979815423</v>
      </c>
    </row>
    <row r="129" customFormat="false" ht="15" hidden="false" customHeight="false" outlineLevel="0" collapsed="false">
      <c r="A129" s="48" t="str">
        <f aca="false">A102</f>
        <v>Growth +2.0% / exit cap 7.50%</v>
      </c>
      <c r="B129" s="104" t="n">
        <f aca="false">B102</f>
        <v>0.075</v>
      </c>
      <c r="C129" s="105" t="n">
        <f aca="false">CashFlow!$C$56</f>
        <v>-2587750</v>
      </c>
      <c r="D129" s="71" t="n">
        <f aca="false">D102+CashFlow!D$53*CashFlow!D$5+CashFlow!D$55</f>
        <v>111127.5</v>
      </c>
      <c r="E129" s="71" t="n">
        <f aca="false">E102+CashFlow!E$53*CashFlow!E$5+CashFlow!E$55</f>
        <v>210660.5</v>
      </c>
      <c r="F129" s="71" t="n">
        <f aca="false">F102+CashFlow!F$53*CashFlow!F$5+CashFlow!F$55</f>
        <v>220332.846347809</v>
      </c>
      <c r="G129" s="71" t="n">
        <f aca="false">G102+CashFlow!G$53*CashFlow!G$5+CashFlow!G$55</f>
        <v>240893.551247809</v>
      </c>
      <c r="H129" s="71" t="n">
        <f aca="false">H102+CashFlow!H$53*CashFlow!H$5+CashFlow!H$55</f>
        <v>262392.411944809</v>
      </c>
      <c r="I129" s="71" t="n">
        <f aca="false">I102+CashFlow!I$53*CashFlow!I$5+CashFlow!I$55</f>
        <v>259102.97717353</v>
      </c>
      <c r="J129" s="71" t="n">
        <f aca="false">J102+CashFlow!J$53*CashFlow!J$5+CashFlow!J$55</f>
        <v>4803852.63629089</v>
      </c>
      <c r="K129" s="71" t="n">
        <f aca="false">K102+CashFlow!K$53*CashFlow!K$5+CashFlow!K$55</f>
        <v>0</v>
      </c>
      <c r="L129" s="71" t="n">
        <f aca="false">L102+CashFlow!L$53*CashFlow!L$5+CashFlow!L$55</f>
        <v>0</v>
      </c>
      <c r="M129" s="71" t="n">
        <f aca="false">M102+CashFlow!M$53*CashFlow!M$5+CashFlow!M$55</f>
        <v>0</v>
      </c>
      <c r="N129" s="71" t="n">
        <f aca="false">N102+CashFlow!N$53*CashFlow!N$5+CashFlow!N$55</f>
        <v>0</v>
      </c>
      <c r="O129" s="106" t="n">
        <f aca="false">IFERROR(IRR(C129:N129),IFERROR(IRR(C129:N129,-0.15),IFERROR(IRR(C129:N129,-0.3),"n/m")))</f>
        <v>0.149939784243684</v>
      </c>
    </row>
    <row r="130" customFormat="false" ht="15" hidden="false" customHeight="false" outlineLevel="0" collapsed="false">
      <c r="A130" s="48" t="str">
        <f aca="false">A103</f>
        <v>Growth +2.0% / exit cap 8.00%</v>
      </c>
      <c r="B130" s="104" t="n">
        <f aca="false">B103</f>
        <v>0.08</v>
      </c>
      <c r="C130" s="105" t="n">
        <f aca="false">CashFlow!$C$56</f>
        <v>-2587750</v>
      </c>
      <c r="D130" s="71" t="n">
        <f aca="false">D103+CashFlow!D$53*CashFlow!D$5+CashFlow!D$55</f>
        <v>111127.5</v>
      </c>
      <c r="E130" s="71" t="n">
        <f aca="false">E103+CashFlow!E$53*CashFlow!E$5+CashFlow!E$55</f>
        <v>210660.5</v>
      </c>
      <c r="F130" s="71" t="n">
        <f aca="false">F103+CashFlow!F$53*CashFlow!F$5+CashFlow!F$55</f>
        <v>220332.846347809</v>
      </c>
      <c r="G130" s="71" t="n">
        <f aca="false">G103+CashFlow!G$53*CashFlow!G$5+CashFlow!G$55</f>
        <v>240893.551247809</v>
      </c>
      <c r="H130" s="71" t="n">
        <f aca="false">H103+CashFlow!H$53*CashFlow!H$5+CashFlow!H$55</f>
        <v>262392.411944809</v>
      </c>
      <c r="I130" s="71" t="n">
        <f aca="false">I103+CashFlow!I$53*CashFlow!I$5+CashFlow!I$55</f>
        <v>259102.97717353</v>
      </c>
      <c r="J130" s="71" t="n">
        <f aca="false">J103+CashFlow!J$53*CashFlow!J$5+CashFlow!J$55</f>
        <v>4349433.51020935</v>
      </c>
      <c r="K130" s="71" t="n">
        <f aca="false">K103+CashFlow!K$53*CashFlow!K$5+CashFlow!K$55</f>
        <v>0</v>
      </c>
      <c r="L130" s="71" t="n">
        <f aca="false">L103+CashFlow!L$53*CashFlow!L$5+CashFlow!L$55</f>
        <v>0</v>
      </c>
      <c r="M130" s="71" t="n">
        <f aca="false">M103+CashFlow!M$53*CashFlow!M$5+CashFlow!M$55</f>
        <v>0</v>
      </c>
      <c r="N130" s="71" t="n">
        <f aca="false">N103+CashFlow!N$53*CashFlow!N$5+CashFlow!N$55</f>
        <v>0</v>
      </c>
      <c r="O130" s="106" t="n">
        <f aca="false">IFERROR(IRR(C130:N130),IFERROR(IRR(C130:N130,-0.15),IFERROR(IRR(C130:N130,-0.3),"n/m")))</f>
        <v>0.136668256222672</v>
      </c>
    </row>
    <row r="132" customFormat="false" ht="15" hidden="false" customHeight="false" outlineLevel="0" collapsed="false">
      <c r="A132" s="79" t="s">
        <v>276</v>
      </c>
      <c r="O132" s="107" t="n">
        <f aca="false">IFERROR(O91-CashFlow!C66,0)</f>
        <v>0</v>
      </c>
    </row>
    <row r="133" customFormat="false" ht="15" hidden="false" customHeight="false" outlineLevel="0" collapsed="false">
      <c r="A133" s="79" t="s">
        <v>277</v>
      </c>
      <c r="O133" s="107" t="n">
        <f aca="false">IFERROR(O118-CashFlow!C68,0)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2026-10-07T16:29:23Z</dcterms:created>
  <dc:creator>openpyxl</dc:creator>
  <dc:description/>
  <dc:language>en-US</dc:language>
  <cp:lastModifiedBy/>
  <dcterms:modified xsi:type="dcterms:W3CDTF">2026-10-07T16:29:28Z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